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026"/>
  <workbookPr defaultThemeVersion="166925"/>
  <mc:AlternateContent xmlns:mc="http://schemas.openxmlformats.org/markup-compatibility/2006">
    <mc:Choice Requires="x15">
      <x15ac:absPath xmlns:x15ac="http://schemas.microsoft.com/office/spreadsheetml/2010/11/ac" url="F:\Dropbox\GeoVisualization\GPS_and_RTK\GPS_Raw_Files\"/>
    </mc:Choice>
  </mc:AlternateContent>
  <xr:revisionPtr revIDLastSave="0" documentId="13_ncr:1_{1E3CA228-B815-4C9E-913B-13552260E783}" xr6:coauthVersionLast="45" xr6:coauthVersionMax="45" xr10:uidLastSave="{00000000-0000-0000-0000-000000000000}"/>
  <bookViews>
    <workbookView xWindow="1185" yWindow="0" windowWidth="25860" windowHeight="15540" activeTab="3" xr2:uid="{C5AFF008-E47F-4A0C-878A-43C3563D2A2C}"/>
  </bookViews>
  <sheets>
    <sheet name="Rover CSV Data" sheetId="1" r:id="rId1"/>
    <sheet name="Rover POS File" sheetId="3" r:id="rId2"/>
    <sheet name="Point_Results" sheetId="2" r:id="rId3"/>
    <sheet name="Variables" sheetId="4" r:id="rId4"/>
  </sheets>
  <definedNames>
    <definedName name="MaxRovers">Variables!$C$6</definedName>
    <definedName name="POS_elev">'Rover POS File'!$D$2:$D$1048576</definedName>
    <definedName name="POS_Lat">'Rover POS File'!$B$2:$B$1048576</definedName>
    <definedName name="POS_Long">'Rover POS File'!$C$2:$C$1048576</definedName>
    <definedName name="POS_Q">'Rover POS File'!$E$2:$E$1048576</definedName>
    <definedName name="POS_Time">'Rover POS File'!$A$2:$A$1048576</definedName>
    <definedName name="RoverStations">Variables!$C$2</definedName>
    <definedName name="sde">'Rover POS File'!$H$2:$H$1048576</definedName>
    <definedName name="sdn">'Rover POS File'!$G$2:$G$1048576</definedName>
    <definedName name="sdu">'Rover POS File'!$I$2:$I$1048576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3" i="4" l="1"/>
  <c r="G4" i="4"/>
  <c r="G5" i="4"/>
  <c r="G6" i="4"/>
  <c r="G7" i="4"/>
  <c r="G8" i="4"/>
  <c r="C5" i="4"/>
  <c r="C4" i="4"/>
  <c r="C3" i="4"/>
  <c r="C2" i="4"/>
  <c r="D2" i="4" s="1"/>
  <c r="B200" i="2" l="1"/>
  <c r="S200" i="2" s="1"/>
  <c r="B176" i="2"/>
  <c r="S176" i="2" s="1"/>
  <c r="B152" i="2"/>
  <c r="B136" i="2"/>
  <c r="B120" i="2"/>
  <c r="B104" i="2"/>
  <c r="B88" i="2"/>
  <c r="B72" i="2"/>
  <c r="S72" i="2" s="1"/>
  <c r="B56" i="2"/>
  <c r="B40" i="2"/>
  <c r="Z40" i="2" s="1"/>
  <c r="B24" i="2"/>
  <c r="B16" i="2"/>
  <c r="L16" i="2" s="1"/>
  <c r="B8" i="2"/>
  <c r="S8" i="2" s="1"/>
  <c r="B199" i="2"/>
  <c r="S199" i="2" s="1"/>
  <c r="B191" i="2"/>
  <c r="S191" i="2" s="1"/>
  <c r="B183" i="2"/>
  <c r="S183" i="2" s="1"/>
  <c r="B175" i="2"/>
  <c r="S175" i="2" s="1"/>
  <c r="B167" i="2"/>
  <c r="Z167" i="2" s="1"/>
  <c r="B159" i="2"/>
  <c r="X159" i="2" s="1"/>
  <c r="B151" i="2"/>
  <c r="B143" i="2"/>
  <c r="B135" i="2"/>
  <c r="J135" i="2" s="1"/>
  <c r="B127" i="2"/>
  <c r="X127" i="2" s="1"/>
  <c r="B119" i="2"/>
  <c r="X119" i="2" s="1"/>
  <c r="B111" i="2"/>
  <c r="B103" i="2"/>
  <c r="B95" i="2"/>
  <c r="B87" i="2"/>
  <c r="X87" i="2" s="1"/>
  <c r="B79" i="2"/>
  <c r="B71" i="2"/>
  <c r="B63" i="2"/>
  <c r="B55" i="2"/>
  <c r="W55" i="2" s="1"/>
  <c r="B47" i="2"/>
  <c r="J47" i="2" s="1"/>
  <c r="B39" i="2"/>
  <c r="J39" i="2" s="1"/>
  <c r="B31" i="2"/>
  <c r="B23" i="2"/>
  <c r="X23" i="2" s="1"/>
  <c r="B9" i="2"/>
  <c r="S9" i="2" s="1"/>
  <c r="B184" i="2"/>
  <c r="S184" i="2" s="1"/>
  <c r="B160" i="2"/>
  <c r="B144" i="2"/>
  <c r="C144" i="2" s="1"/>
  <c r="B128" i="2"/>
  <c r="B96" i="2"/>
  <c r="B80" i="2"/>
  <c r="B64" i="2"/>
  <c r="B48" i="2"/>
  <c r="B32" i="2"/>
  <c r="X32" i="2" s="1"/>
  <c r="B15" i="2"/>
  <c r="B7" i="2"/>
  <c r="S7" i="2" s="1"/>
  <c r="B198" i="2"/>
  <c r="Y198" i="2" s="1"/>
  <c r="B190" i="2"/>
  <c r="S190" i="2" s="1"/>
  <c r="B182" i="2"/>
  <c r="S182" i="2" s="1"/>
  <c r="B174" i="2"/>
  <c r="S174" i="2" s="1"/>
  <c r="B166" i="2"/>
  <c r="B158" i="2"/>
  <c r="B150" i="2"/>
  <c r="B142" i="2"/>
  <c r="Z142" i="2" s="1"/>
  <c r="B134" i="2"/>
  <c r="B126" i="2"/>
  <c r="Y126" i="2" s="1"/>
  <c r="B118" i="2"/>
  <c r="B110" i="2"/>
  <c r="K110" i="2" s="1"/>
  <c r="B102" i="2"/>
  <c r="B94" i="2"/>
  <c r="B86" i="2"/>
  <c r="B78" i="2"/>
  <c r="Y78" i="2" s="1"/>
  <c r="B70" i="2"/>
  <c r="V70" i="2" s="1"/>
  <c r="B62" i="2"/>
  <c r="B54" i="2"/>
  <c r="B46" i="2"/>
  <c r="B38" i="2"/>
  <c r="B30" i="2"/>
  <c r="J30" i="2" s="1"/>
  <c r="B22" i="2"/>
  <c r="B14" i="2"/>
  <c r="C14" i="2" s="1"/>
  <c r="B6" i="2"/>
  <c r="S6" i="2" s="1"/>
  <c r="B197" i="2"/>
  <c r="S197" i="2" s="1"/>
  <c r="B189" i="2"/>
  <c r="S189" i="2" s="1"/>
  <c r="B181" i="2"/>
  <c r="S181" i="2" s="1"/>
  <c r="B173" i="2"/>
  <c r="S173" i="2" s="1"/>
  <c r="B165" i="2"/>
  <c r="B157" i="2"/>
  <c r="B149" i="2"/>
  <c r="W149" i="2" s="1"/>
  <c r="B141" i="2"/>
  <c r="X141" i="2" s="1"/>
  <c r="B133" i="2"/>
  <c r="X133" i="2" s="1"/>
  <c r="B125" i="2"/>
  <c r="B117" i="2"/>
  <c r="X117" i="2" s="1"/>
  <c r="B109" i="2"/>
  <c r="B101" i="2"/>
  <c r="B93" i="2"/>
  <c r="B85" i="2"/>
  <c r="X85" i="2" s="1"/>
  <c r="B77" i="2"/>
  <c r="B69" i="2"/>
  <c r="B61" i="2"/>
  <c r="B53" i="2"/>
  <c r="B45" i="2"/>
  <c r="B37" i="2"/>
  <c r="X37" i="2" s="1"/>
  <c r="B29" i="2"/>
  <c r="B21" i="2"/>
  <c r="D21" i="2" s="1"/>
  <c r="E21" i="2" s="1"/>
  <c r="B13" i="2"/>
  <c r="X13" i="2" s="1"/>
  <c r="B5" i="2"/>
  <c r="S5" i="2" s="1"/>
  <c r="B196" i="2"/>
  <c r="S196" i="2" s="1"/>
  <c r="B188" i="2"/>
  <c r="S188" i="2" s="1"/>
  <c r="B180" i="2"/>
  <c r="S180" i="2" s="1"/>
  <c r="B172" i="2"/>
  <c r="S172" i="2" s="1"/>
  <c r="B164" i="2"/>
  <c r="B156" i="2"/>
  <c r="J156" i="2" s="1"/>
  <c r="B148" i="2"/>
  <c r="Y148" i="2" s="1"/>
  <c r="B140" i="2"/>
  <c r="X140" i="2" s="1"/>
  <c r="B132" i="2"/>
  <c r="B124" i="2"/>
  <c r="Z124" i="2" s="1"/>
  <c r="B116" i="2"/>
  <c r="B108" i="2"/>
  <c r="Y108" i="2" s="1"/>
  <c r="B100" i="2"/>
  <c r="B92" i="2"/>
  <c r="Y92" i="2" s="1"/>
  <c r="B84" i="2"/>
  <c r="K84" i="2" s="1"/>
  <c r="B76" i="2"/>
  <c r="B68" i="2"/>
  <c r="Y68" i="2" s="1"/>
  <c r="B60" i="2"/>
  <c r="B52" i="2"/>
  <c r="B44" i="2"/>
  <c r="Y44" i="2" s="1"/>
  <c r="B36" i="2"/>
  <c r="B28" i="2"/>
  <c r="Y28" i="2" s="1"/>
  <c r="B20" i="2"/>
  <c r="B12" i="2"/>
  <c r="B4" i="2"/>
  <c r="S4" i="2" s="1"/>
  <c r="B195" i="2"/>
  <c r="S195" i="2" s="1"/>
  <c r="B187" i="2"/>
  <c r="S187" i="2" s="1"/>
  <c r="B179" i="2"/>
  <c r="S179" i="2" s="1"/>
  <c r="B171" i="2"/>
  <c r="S171" i="2" s="1"/>
  <c r="B163" i="2"/>
  <c r="Y163" i="2" s="1"/>
  <c r="B155" i="2"/>
  <c r="L155" i="2" s="1"/>
  <c r="B147" i="2"/>
  <c r="V147" i="2" s="1"/>
  <c r="B139" i="2"/>
  <c r="B131" i="2"/>
  <c r="K131" i="2" s="1"/>
  <c r="B123" i="2"/>
  <c r="B115" i="2"/>
  <c r="B107" i="2"/>
  <c r="B99" i="2"/>
  <c r="Y99" i="2" s="1"/>
  <c r="B91" i="2"/>
  <c r="B83" i="2"/>
  <c r="B75" i="2"/>
  <c r="B67" i="2"/>
  <c r="B59" i="2"/>
  <c r="B51" i="2"/>
  <c r="S51" i="2" s="1"/>
  <c r="B43" i="2"/>
  <c r="B35" i="2"/>
  <c r="Y35" i="2" s="1"/>
  <c r="B27" i="2"/>
  <c r="S27" i="2" s="1"/>
  <c r="B19" i="2"/>
  <c r="B11" i="2"/>
  <c r="B3" i="2"/>
  <c r="S3" i="2" s="1"/>
  <c r="B194" i="2"/>
  <c r="X194" i="2" s="1"/>
  <c r="B186" i="2"/>
  <c r="X186" i="2" s="1"/>
  <c r="B178" i="2"/>
  <c r="X178" i="2" s="1"/>
  <c r="B170" i="2"/>
  <c r="X170" i="2" s="1"/>
  <c r="B162" i="2"/>
  <c r="S162" i="2" s="1"/>
  <c r="B154" i="2"/>
  <c r="X154" i="2" s="1"/>
  <c r="B146" i="2"/>
  <c r="B138" i="2"/>
  <c r="X138" i="2" s="1"/>
  <c r="B130" i="2"/>
  <c r="S130" i="2" s="1"/>
  <c r="B122" i="2"/>
  <c r="S122" i="2" s="1"/>
  <c r="B114" i="2"/>
  <c r="S114" i="2" s="1"/>
  <c r="B106" i="2"/>
  <c r="S106" i="2" s="1"/>
  <c r="B98" i="2"/>
  <c r="S98" i="2" s="1"/>
  <c r="B90" i="2"/>
  <c r="B82" i="2"/>
  <c r="B74" i="2"/>
  <c r="B66" i="2"/>
  <c r="S66" i="2" s="1"/>
  <c r="B58" i="2"/>
  <c r="S58" i="2" s="1"/>
  <c r="B50" i="2"/>
  <c r="S50" i="2" s="1"/>
  <c r="B42" i="2"/>
  <c r="S42" i="2" s="1"/>
  <c r="B34" i="2"/>
  <c r="S34" i="2" s="1"/>
  <c r="B26" i="2"/>
  <c r="B18" i="2"/>
  <c r="B17" i="2"/>
  <c r="Z17" i="2" s="1"/>
  <c r="B192" i="2"/>
  <c r="S192" i="2" s="1"/>
  <c r="B168" i="2"/>
  <c r="Y168" i="2" s="1"/>
  <c r="B112" i="2"/>
  <c r="B2" i="2"/>
  <c r="S2" i="2" s="1"/>
  <c r="B10" i="2"/>
  <c r="X10" i="2" s="1"/>
  <c r="B201" i="2"/>
  <c r="S201" i="2" s="1"/>
  <c r="B193" i="2"/>
  <c r="S193" i="2" s="1"/>
  <c r="B185" i="2"/>
  <c r="S185" i="2" s="1"/>
  <c r="B177" i="2"/>
  <c r="S177" i="2" s="1"/>
  <c r="B169" i="2"/>
  <c r="S169" i="2" s="1"/>
  <c r="B161" i="2"/>
  <c r="Y161" i="2" s="1"/>
  <c r="B153" i="2"/>
  <c r="X153" i="2" s="1"/>
  <c r="B145" i="2"/>
  <c r="Y145" i="2" s="1"/>
  <c r="B137" i="2"/>
  <c r="Y137" i="2" s="1"/>
  <c r="B129" i="2"/>
  <c r="Y129" i="2" s="1"/>
  <c r="B121" i="2"/>
  <c r="Z121" i="2" s="1"/>
  <c r="B113" i="2"/>
  <c r="Z113" i="2" s="1"/>
  <c r="B105" i="2"/>
  <c r="Z105" i="2" s="1"/>
  <c r="B97" i="2"/>
  <c r="B89" i="2"/>
  <c r="Z89" i="2" s="1"/>
  <c r="B81" i="2"/>
  <c r="Z81" i="2" s="1"/>
  <c r="B73" i="2"/>
  <c r="B65" i="2"/>
  <c r="Z65" i="2" s="1"/>
  <c r="B57" i="2"/>
  <c r="Z57" i="2" s="1"/>
  <c r="B49" i="2"/>
  <c r="Z49" i="2" s="1"/>
  <c r="B41" i="2"/>
  <c r="Z41" i="2" s="1"/>
  <c r="B33" i="2"/>
  <c r="B25" i="2"/>
  <c r="Z25" i="2" s="1"/>
  <c r="X179" i="2"/>
  <c r="Y176" i="2"/>
  <c r="X171" i="2"/>
  <c r="Y200" i="2"/>
  <c r="X195" i="2"/>
  <c r="Y192" i="2"/>
  <c r="S178" i="2"/>
  <c r="X187" i="2"/>
  <c r="Z137" i="2"/>
  <c r="Y184" i="2"/>
  <c r="X109" i="2"/>
  <c r="S109" i="2"/>
  <c r="Y109" i="2"/>
  <c r="Z109" i="2"/>
  <c r="X69" i="2"/>
  <c r="S69" i="2"/>
  <c r="Y69" i="2"/>
  <c r="Z69" i="2"/>
  <c r="Y167" i="2"/>
  <c r="S167" i="2"/>
  <c r="Y159" i="2"/>
  <c r="Z159" i="2"/>
  <c r="S159" i="2"/>
  <c r="Y151" i="2"/>
  <c r="Z151" i="2"/>
  <c r="S151" i="2"/>
  <c r="Y143" i="2"/>
  <c r="Z143" i="2"/>
  <c r="S143" i="2"/>
  <c r="Y127" i="2"/>
  <c r="Z127" i="2"/>
  <c r="S127" i="2"/>
  <c r="Y111" i="2"/>
  <c r="Z111" i="2"/>
  <c r="S111" i="2"/>
  <c r="Y103" i="2"/>
  <c r="Z103" i="2"/>
  <c r="S103" i="2"/>
  <c r="Y95" i="2"/>
  <c r="Z95" i="2"/>
  <c r="S95" i="2"/>
  <c r="Y87" i="2"/>
  <c r="Z87" i="2"/>
  <c r="S87" i="2"/>
  <c r="Y79" i="2"/>
  <c r="Z79" i="2"/>
  <c r="S79" i="2"/>
  <c r="Y71" i="2"/>
  <c r="Z71" i="2"/>
  <c r="S71" i="2"/>
  <c r="Y63" i="2"/>
  <c r="Z63" i="2"/>
  <c r="S63" i="2"/>
  <c r="S39" i="2"/>
  <c r="Y31" i="2"/>
  <c r="Z31" i="2"/>
  <c r="S31" i="2"/>
  <c r="Z195" i="2"/>
  <c r="X193" i="2"/>
  <c r="Y190" i="2"/>
  <c r="Z187" i="2"/>
  <c r="Y182" i="2"/>
  <c r="Z179" i="2"/>
  <c r="X177" i="2"/>
  <c r="Y174" i="2"/>
  <c r="Z171" i="2"/>
  <c r="X169" i="2"/>
  <c r="Z161" i="2"/>
  <c r="X151" i="2"/>
  <c r="Z129" i="2"/>
  <c r="X71" i="2"/>
  <c r="S194" i="2"/>
  <c r="Y15" i="2"/>
  <c r="Z15" i="2"/>
  <c r="S15" i="2"/>
  <c r="S166" i="2"/>
  <c r="X166" i="2"/>
  <c r="S158" i="2"/>
  <c r="X158" i="2"/>
  <c r="Y158" i="2"/>
  <c r="S150" i="2"/>
  <c r="X150" i="2"/>
  <c r="Y150" i="2"/>
  <c r="S134" i="2"/>
  <c r="X134" i="2"/>
  <c r="Y134" i="2"/>
  <c r="X126" i="2"/>
  <c r="S118" i="2"/>
  <c r="X118" i="2"/>
  <c r="Y118" i="2"/>
  <c r="Z118" i="2"/>
  <c r="S102" i="2"/>
  <c r="X102" i="2"/>
  <c r="Y102" i="2"/>
  <c r="Z102" i="2"/>
  <c r="S94" i="2"/>
  <c r="X94" i="2"/>
  <c r="Y94" i="2"/>
  <c r="Z94" i="2"/>
  <c r="S86" i="2"/>
  <c r="X86" i="2"/>
  <c r="Y86" i="2"/>
  <c r="Z86" i="2"/>
  <c r="S62" i="2"/>
  <c r="X62" i="2"/>
  <c r="Y62" i="2"/>
  <c r="Z62" i="2"/>
  <c r="S54" i="2"/>
  <c r="X54" i="2"/>
  <c r="Y54" i="2"/>
  <c r="Z54" i="2"/>
  <c r="S46" i="2"/>
  <c r="X46" i="2"/>
  <c r="Y46" i="2"/>
  <c r="Z46" i="2"/>
  <c r="S38" i="2"/>
  <c r="X38" i="2"/>
  <c r="Y38" i="2"/>
  <c r="Z38" i="2"/>
  <c r="S22" i="2"/>
  <c r="X22" i="2"/>
  <c r="Y22" i="2"/>
  <c r="Z22" i="2"/>
  <c r="Z200" i="2"/>
  <c r="Y195" i="2"/>
  <c r="Z192" i="2"/>
  <c r="X190" i="2"/>
  <c r="Y187" i="2"/>
  <c r="Z184" i="2"/>
  <c r="X182" i="2"/>
  <c r="Y179" i="2"/>
  <c r="Z176" i="2"/>
  <c r="X174" i="2"/>
  <c r="Y171" i="2"/>
  <c r="Z150" i="2"/>
  <c r="X111" i="2"/>
  <c r="S186" i="2"/>
  <c r="X125" i="2"/>
  <c r="S125" i="2"/>
  <c r="Y125" i="2"/>
  <c r="Z125" i="2"/>
  <c r="X53" i="2"/>
  <c r="S53" i="2"/>
  <c r="Y53" i="2"/>
  <c r="Z53" i="2"/>
  <c r="Z164" i="2"/>
  <c r="S164" i="2"/>
  <c r="Z148" i="2"/>
  <c r="S148" i="2"/>
  <c r="Z140" i="2"/>
  <c r="Z132" i="2"/>
  <c r="S132" i="2"/>
  <c r="Z116" i="2"/>
  <c r="S116" i="2"/>
  <c r="X116" i="2"/>
  <c r="Z108" i="2"/>
  <c r="S108" i="2"/>
  <c r="X108" i="2"/>
  <c r="Z100" i="2"/>
  <c r="S100" i="2"/>
  <c r="X100" i="2"/>
  <c r="Z76" i="2"/>
  <c r="S76" i="2"/>
  <c r="X76" i="2"/>
  <c r="Z68" i="2"/>
  <c r="S68" i="2"/>
  <c r="X68" i="2"/>
  <c r="Z60" i="2"/>
  <c r="S60" i="2"/>
  <c r="X60" i="2"/>
  <c r="Z52" i="2"/>
  <c r="S52" i="2"/>
  <c r="X52" i="2"/>
  <c r="Z36" i="2"/>
  <c r="S36" i="2"/>
  <c r="X36" i="2"/>
  <c r="Z20" i="2"/>
  <c r="S20" i="2"/>
  <c r="X20" i="2"/>
  <c r="X200" i="2"/>
  <c r="Y197" i="2"/>
  <c r="Z194" i="2"/>
  <c r="X192" i="2"/>
  <c r="Y189" i="2"/>
  <c r="Z186" i="2"/>
  <c r="X184" i="2"/>
  <c r="Y181" i="2"/>
  <c r="Z178" i="2"/>
  <c r="X176" i="2"/>
  <c r="Y173" i="2"/>
  <c r="X167" i="2"/>
  <c r="Z158" i="2"/>
  <c r="X148" i="2"/>
  <c r="X63" i="2"/>
  <c r="Y20" i="2"/>
  <c r="X101" i="2"/>
  <c r="S101" i="2"/>
  <c r="Y101" i="2"/>
  <c r="Z101" i="2"/>
  <c r="X29" i="2"/>
  <c r="S29" i="2"/>
  <c r="Y29" i="2"/>
  <c r="Z29" i="2"/>
  <c r="Y147" i="2"/>
  <c r="S139" i="2"/>
  <c r="X139" i="2"/>
  <c r="Y139" i="2"/>
  <c r="Z139" i="2"/>
  <c r="S123" i="2"/>
  <c r="X123" i="2"/>
  <c r="Y123" i="2"/>
  <c r="Z123" i="2"/>
  <c r="S115" i="2"/>
  <c r="X115" i="2"/>
  <c r="Y115" i="2"/>
  <c r="Z115" i="2"/>
  <c r="S107" i="2"/>
  <c r="X107" i="2"/>
  <c r="Y107" i="2"/>
  <c r="Z107" i="2"/>
  <c r="S91" i="2"/>
  <c r="X91" i="2"/>
  <c r="Y91" i="2"/>
  <c r="Z91" i="2"/>
  <c r="S83" i="2"/>
  <c r="X83" i="2"/>
  <c r="Y83" i="2"/>
  <c r="Z83" i="2"/>
  <c r="S75" i="2"/>
  <c r="X75" i="2"/>
  <c r="Y75" i="2"/>
  <c r="Z75" i="2"/>
  <c r="S67" i="2"/>
  <c r="X67" i="2"/>
  <c r="Y67" i="2"/>
  <c r="Z67" i="2"/>
  <c r="S59" i="2"/>
  <c r="X59" i="2"/>
  <c r="Y59" i="2"/>
  <c r="Z59" i="2"/>
  <c r="S43" i="2"/>
  <c r="X43" i="2"/>
  <c r="Y43" i="2"/>
  <c r="Z43" i="2"/>
  <c r="S19" i="2"/>
  <c r="X19" i="2"/>
  <c r="Y19" i="2"/>
  <c r="Z19" i="2"/>
  <c r="Z199" i="2"/>
  <c r="X197" i="2"/>
  <c r="Y194" i="2"/>
  <c r="Z191" i="2"/>
  <c r="X189" i="2"/>
  <c r="Y186" i="2"/>
  <c r="X181" i="2"/>
  <c r="Y178" i="2"/>
  <c r="X173" i="2"/>
  <c r="Z166" i="2"/>
  <c r="Z145" i="2"/>
  <c r="X103" i="2"/>
  <c r="Y60" i="2"/>
  <c r="X39" i="2"/>
  <c r="X77" i="2"/>
  <c r="S77" i="2"/>
  <c r="Y77" i="2"/>
  <c r="Z77" i="2"/>
  <c r="X45" i="2"/>
  <c r="S45" i="2"/>
  <c r="Y45" i="2"/>
  <c r="Z45" i="2"/>
  <c r="Z197" i="2"/>
  <c r="Z189" i="2"/>
  <c r="Z12" i="2"/>
  <c r="S12" i="2"/>
  <c r="X12" i="2"/>
  <c r="S11" i="2"/>
  <c r="X11" i="2"/>
  <c r="Y11" i="2"/>
  <c r="Z11" i="2"/>
  <c r="X162" i="2"/>
  <c r="Y162" i="2"/>
  <c r="Z162" i="2"/>
  <c r="X146" i="2"/>
  <c r="Y146" i="2"/>
  <c r="Z146" i="2"/>
  <c r="X130" i="2"/>
  <c r="Y130" i="2"/>
  <c r="Z130" i="2"/>
  <c r="X122" i="2"/>
  <c r="Y122" i="2"/>
  <c r="Z122" i="2"/>
  <c r="X114" i="2"/>
  <c r="Y114" i="2"/>
  <c r="Z114" i="2"/>
  <c r="Z98" i="2"/>
  <c r="X90" i="2"/>
  <c r="Y90" i="2"/>
  <c r="Z90" i="2"/>
  <c r="X82" i="2"/>
  <c r="Y82" i="2"/>
  <c r="Z82" i="2"/>
  <c r="X74" i="2"/>
  <c r="Y74" i="2"/>
  <c r="Z74" i="2"/>
  <c r="X66" i="2"/>
  <c r="Y66" i="2"/>
  <c r="Z66" i="2"/>
  <c r="X58" i="2"/>
  <c r="Z58" i="2"/>
  <c r="X50" i="2"/>
  <c r="Y50" i="2"/>
  <c r="Z50" i="2"/>
  <c r="X34" i="2"/>
  <c r="Y34" i="2"/>
  <c r="Z34" i="2"/>
  <c r="X26" i="2"/>
  <c r="Y26" i="2"/>
  <c r="Z26" i="2"/>
  <c r="X18" i="2"/>
  <c r="Y18" i="2"/>
  <c r="Z18" i="2"/>
  <c r="Y199" i="2"/>
  <c r="Z196" i="2"/>
  <c r="Y191" i="2"/>
  <c r="Z188" i="2"/>
  <c r="Z180" i="2"/>
  <c r="Y175" i="2"/>
  <c r="Z172" i="2"/>
  <c r="Y166" i="2"/>
  <c r="Z134" i="2"/>
  <c r="Y100" i="2"/>
  <c r="X79" i="2"/>
  <c r="Y36" i="2"/>
  <c r="X15" i="2"/>
  <c r="S90" i="2"/>
  <c r="S26" i="2"/>
  <c r="X157" i="2"/>
  <c r="S157" i="2"/>
  <c r="Y157" i="2"/>
  <c r="Z157" i="2"/>
  <c r="X93" i="2"/>
  <c r="S93" i="2"/>
  <c r="Y93" i="2"/>
  <c r="Z93" i="2"/>
  <c r="Z173" i="2"/>
  <c r="X161" i="2"/>
  <c r="S161" i="2"/>
  <c r="X145" i="2"/>
  <c r="S145" i="2"/>
  <c r="X137" i="2"/>
  <c r="S137" i="2"/>
  <c r="X129" i="2"/>
  <c r="S129" i="2"/>
  <c r="X121" i="2"/>
  <c r="S121" i="2"/>
  <c r="Y121" i="2"/>
  <c r="X113" i="2"/>
  <c r="S113" i="2"/>
  <c r="Y113" i="2"/>
  <c r="S105" i="2"/>
  <c r="X97" i="2"/>
  <c r="S97" i="2"/>
  <c r="Y97" i="2"/>
  <c r="X73" i="2"/>
  <c r="S73" i="2"/>
  <c r="Y73" i="2"/>
  <c r="X65" i="2"/>
  <c r="S65" i="2"/>
  <c r="Y65" i="2"/>
  <c r="X57" i="2"/>
  <c r="S57" i="2"/>
  <c r="Y57" i="2"/>
  <c r="X49" i="2"/>
  <c r="S49" i="2"/>
  <c r="Y49" i="2"/>
  <c r="X41" i="2"/>
  <c r="S41" i="2"/>
  <c r="Y41" i="2"/>
  <c r="X33" i="2"/>
  <c r="S33" i="2"/>
  <c r="Y33" i="2"/>
  <c r="X199" i="2"/>
  <c r="Y196" i="2"/>
  <c r="Z193" i="2"/>
  <c r="X191" i="2"/>
  <c r="Y188" i="2"/>
  <c r="Y180" i="2"/>
  <c r="Z177" i="2"/>
  <c r="Y172" i="2"/>
  <c r="Z169" i="2"/>
  <c r="Y164" i="2"/>
  <c r="X143" i="2"/>
  <c r="Y132" i="2"/>
  <c r="Z97" i="2"/>
  <c r="Y76" i="2"/>
  <c r="Z33" i="2"/>
  <c r="Y12" i="2"/>
  <c r="S146" i="2"/>
  <c r="S82" i="2"/>
  <c r="S18" i="2"/>
  <c r="X165" i="2"/>
  <c r="S165" i="2"/>
  <c r="Y165" i="2"/>
  <c r="Z165" i="2"/>
  <c r="X61" i="2"/>
  <c r="S61" i="2"/>
  <c r="Y61" i="2"/>
  <c r="Z61" i="2"/>
  <c r="Z181" i="2"/>
  <c r="X17" i="2"/>
  <c r="S17" i="2"/>
  <c r="Y17" i="2"/>
  <c r="X168" i="2"/>
  <c r="Z168" i="2"/>
  <c r="S168" i="2"/>
  <c r="X160" i="2"/>
  <c r="Y160" i="2"/>
  <c r="Z160" i="2"/>
  <c r="S160" i="2"/>
  <c r="X152" i="2"/>
  <c r="Y152" i="2"/>
  <c r="Z152" i="2"/>
  <c r="S152" i="2"/>
  <c r="X136" i="2"/>
  <c r="Y136" i="2"/>
  <c r="Z136" i="2"/>
  <c r="S136" i="2"/>
  <c r="X128" i="2"/>
  <c r="Y128" i="2"/>
  <c r="Z128" i="2"/>
  <c r="S128" i="2"/>
  <c r="X120" i="2"/>
  <c r="Y120" i="2"/>
  <c r="Z120" i="2"/>
  <c r="S120" i="2"/>
  <c r="X112" i="2"/>
  <c r="Y112" i="2"/>
  <c r="Z112" i="2"/>
  <c r="S112" i="2"/>
  <c r="X104" i="2"/>
  <c r="Y104" i="2"/>
  <c r="Z104" i="2"/>
  <c r="S104" i="2"/>
  <c r="X96" i="2"/>
  <c r="Y96" i="2"/>
  <c r="Z96" i="2"/>
  <c r="S96" i="2"/>
  <c r="X88" i="2"/>
  <c r="Y88" i="2"/>
  <c r="Z88" i="2"/>
  <c r="S88" i="2"/>
  <c r="X80" i="2"/>
  <c r="Y80" i="2"/>
  <c r="Z80" i="2"/>
  <c r="S80" i="2"/>
  <c r="X64" i="2"/>
  <c r="Y64" i="2"/>
  <c r="Z64" i="2"/>
  <c r="S64" i="2"/>
  <c r="X56" i="2"/>
  <c r="Y56" i="2"/>
  <c r="Z56" i="2"/>
  <c r="S56" i="2"/>
  <c r="X48" i="2"/>
  <c r="Y48" i="2"/>
  <c r="Z48" i="2"/>
  <c r="S48" i="2"/>
  <c r="Y40" i="2"/>
  <c r="X24" i="2"/>
  <c r="Y24" i="2"/>
  <c r="Z24" i="2"/>
  <c r="S24" i="2"/>
  <c r="X196" i="2"/>
  <c r="Y193" i="2"/>
  <c r="Z190" i="2"/>
  <c r="X188" i="2"/>
  <c r="Z182" i="2"/>
  <c r="X180" i="2"/>
  <c r="Y177" i="2"/>
  <c r="Z174" i="2"/>
  <c r="X172" i="2"/>
  <c r="Y169" i="2"/>
  <c r="X164" i="2"/>
  <c r="X132" i="2"/>
  <c r="Y116" i="2"/>
  <c r="X95" i="2"/>
  <c r="Z73" i="2"/>
  <c r="Y52" i="2"/>
  <c r="X31" i="2"/>
  <c r="S74" i="2"/>
  <c r="C164" i="2"/>
  <c r="K37" i="2"/>
  <c r="L139" i="2"/>
  <c r="K182" i="2"/>
  <c r="K118" i="2"/>
  <c r="K29" i="2"/>
  <c r="K165" i="2"/>
  <c r="F151" i="2"/>
  <c r="L136" i="2"/>
  <c r="L107" i="2"/>
  <c r="C61" i="2"/>
  <c r="D190" i="2"/>
  <c r="L147" i="2"/>
  <c r="L171" i="2"/>
  <c r="J128" i="2"/>
  <c r="K197" i="2"/>
  <c r="J184" i="2"/>
  <c r="C65" i="2"/>
  <c r="C189" i="2"/>
  <c r="F71" i="2"/>
  <c r="K109" i="2"/>
  <c r="K101" i="2"/>
  <c r="K173" i="2"/>
  <c r="J137" i="2"/>
  <c r="F108" i="2"/>
  <c r="D186" i="2"/>
  <c r="F60" i="2"/>
  <c r="P189" i="2" a="1"/>
  <c r="P189" i="2" s="1"/>
  <c r="F147" i="2"/>
  <c r="D151" i="2"/>
  <c r="D166" i="2"/>
  <c r="W93" i="2"/>
  <c r="C197" i="2"/>
  <c r="W128" i="2"/>
  <c r="F157" i="2"/>
  <c r="V137" i="2"/>
  <c r="L187" i="2"/>
  <c r="J88" i="2"/>
  <c r="W168" i="2"/>
  <c r="V151" i="2"/>
  <c r="C127" i="2"/>
  <c r="V104" i="2"/>
  <c r="V96" i="2"/>
  <c r="F56" i="2"/>
  <c r="J185" i="2"/>
  <c r="K134" i="2"/>
  <c r="C199" i="2"/>
  <c r="F195" i="2"/>
  <c r="W145" i="2"/>
  <c r="F104" i="2"/>
  <c r="D96" i="2"/>
  <c r="V63" i="2"/>
  <c r="K174" i="2"/>
  <c r="L123" i="2"/>
  <c r="K61" i="2"/>
  <c r="V194" i="2"/>
  <c r="F186" i="2"/>
  <c r="V182" i="2"/>
  <c r="C132" i="2"/>
  <c r="D109" i="2"/>
  <c r="D103" i="2"/>
  <c r="K166" i="2"/>
  <c r="J121" i="2"/>
  <c r="J113" i="2"/>
  <c r="M189" i="2"/>
  <c r="W108" i="2"/>
  <c r="V127" i="2"/>
  <c r="L195" i="2"/>
  <c r="J145" i="2"/>
  <c r="K102" i="2"/>
  <c r="L18" i="2"/>
  <c r="K193" i="2"/>
  <c r="L193" i="2"/>
  <c r="D167" i="2"/>
  <c r="J167" i="2"/>
  <c r="K167" i="2"/>
  <c r="L167" i="2"/>
  <c r="D175" i="2"/>
  <c r="N175" i="2" s="1"/>
  <c r="V164" i="2"/>
  <c r="K161" i="2"/>
  <c r="L161" i="2"/>
  <c r="L157" i="2"/>
  <c r="J157" i="2"/>
  <c r="J130" i="2"/>
  <c r="K130" i="2"/>
  <c r="L120" i="2"/>
  <c r="C108" i="2"/>
  <c r="J108" i="2"/>
  <c r="K108" i="2"/>
  <c r="L108" i="2"/>
  <c r="K105" i="2"/>
  <c r="K97" i="2"/>
  <c r="L97" i="2"/>
  <c r="J90" i="2"/>
  <c r="K90" i="2"/>
  <c r="C74" i="2"/>
  <c r="D69" i="2"/>
  <c r="L69" i="2"/>
  <c r="J69" i="2"/>
  <c r="L61" i="2"/>
  <c r="J61" i="2"/>
  <c r="F59" i="2"/>
  <c r="J59" i="2"/>
  <c r="K59" i="2"/>
  <c r="L59" i="2"/>
  <c r="L40" i="2"/>
  <c r="L39" i="2"/>
  <c r="J33" i="2"/>
  <c r="K33" i="2"/>
  <c r="L33" i="2"/>
  <c r="K16" i="2"/>
  <c r="K191" i="2"/>
  <c r="W165" i="2"/>
  <c r="L165" i="2"/>
  <c r="J165" i="2"/>
  <c r="J143" i="2"/>
  <c r="K143" i="2"/>
  <c r="L143" i="2"/>
  <c r="L117" i="2"/>
  <c r="J111" i="2"/>
  <c r="J79" i="2"/>
  <c r="K79" i="2"/>
  <c r="L79" i="2"/>
  <c r="D46" i="2"/>
  <c r="J46" i="2"/>
  <c r="K46" i="2"/>
  <c r="L46" i="2"/>
  <c r="D41" i="2"/>
  <c r="J41" i="2"/>
  <c r="K41" i="2"/>
  <c r="L41" i="2"/>
  <c r="J34" i="2"/>
  <c r="K34" i="2"/>
  <c r="F31" i="2"/>
  <c r="J31" i="2"/>
  <c r="K31" i="2"/>
  <c r="L31" i="2"/>
  <c r="J17" i="2"/>
  <c r="K17" i="2"/>
  <c r="L17" i="2"/>
  <c r="J11" i="2"/>
  <c r="K11" i="2"/>
  <c r="L11" i="2"/>
  <c r="D201" i="2"/>
  <c r="D101" i="2"/>
  <c r="L101" i="2"/>
  <c r="J101" i="2"/>
  <c r="C71" i="2"/>
  <c r="J71" i="2"/>
  <c r="K71" i="2"/>
  <c r="L71" i="2"/>
  <c r="K64" i="2"/>
  <c r="L64" i="2"/>
  <c r="K58" i="2"/>
  <c r="K54" i="2"/>
  <c r="K44" i="2"/>
  <c r="L197" i="2"/>
  <c r="F188" i="2"/>
  <c r="J188" i="2"/>
  <c r="K188" i="2"/>
  <c r="L188" i="2"/>
  <c r="D174" i="2"/>
  <c r="J174" i="2"/>
  <c r="L174" i="2"/>
  <c r="K169" i="2"/>
  <c r="L169" i="2"/>
  <c r="K152" i="2"/>
  <c r="L152" i="2"/>
  <c r="J151" i="2"/>
  <c r="K151" i="2"/>
  <c r="L151" i="2"/>
  <c r="C145" i="2"/>
  <c r="O145" i="2" s="1"/>
  <c r="K145" i="2"/>
  <c r="L145" i="2"/>
  <c r="E140" i="2"/>
  <c r="L140" i="2"/>
  <c r="J122" i="2"/>
  <c r="K122" i="2"/>
  <c r="J94" i="2"/>
  <c r="J83" i="2"/>
  <c r="K83" i="2"/>
  <c r="L83" i="2"/>
  <c r="L77" i="2"/>
  <c r="J77" i="2"/>
  <c r="C73" i="2"/>
  <c r="J73" i="2"/>
  <c r="K73" i="2"/>
  <c r="L73" i="2"/>
  <c r="J68" i="2"/>
  <c r="L68" i="2"/>
  <c r="F49" i="2"/>
  <c r="J49" i="2"/>
  <c r="K49" i="2"/>
  <c r="L49" i="2"/>
  <c r="J38" i="2"/>
  <c r="K38" i="2"/>
  <c r="L38" i="2"/>
  <c r="L194" i="2"/>
  <c r="J152" i="2"/>
  <c r="L130" i="2"/>
  <c r="L58" i="2"/>
  <c r="F192" i="2"/>
  <c r="K192" i="2"/>
  <c r="L192" i="2"/>
  <c r="D189" i="2"/>
  <c r="N189" i="2" s="1"/>
  <c r="L189" i="2"/>
  <c r="J189" i="2"/>
  <c r="K160" i="2"/>
  <c r="L160" i="2"/>
  <c r="K136" i="2"/>
  <c r="K129" i="2"/>
  <c r="L129" i="2"/>
  <c r="C123" i="2"/>
  <c r="J123" i="2"/>
  <c r="K123" i="2"/>
  <c r="J84" i="2"/>
  <c r="J74" i="2"/>
  <c r="K74" i="2"/>
  <c r="C50" i="2"/>
  <c r="J50" i="2"/>
  <c r="K50" i="2"/>
  <c r="J15" i="2"/>
  <c r="K15" i="2"/>
  <c r="L15" i="2"/>
  <c r="L99" i="2"/>
  <c r="F196" i="2"/>
  <c r="J196" i="2"/>
  <c r="K196" i="2"/>
  <c r="L196" i="2"/>
  <c r="J186" i="2"/>
  <c r="K186" i="2"/>
  <c r="J150" i="2"/>
  <c r="L150" i="2"/>
  <c r="J132" i="2"/>
  <c r="K132" i="2"/>
  <c r="L132" i="2"/>
  <c r="J127" i="2"/>
  <c r="K127" i="2"/>
  <c r="L127" i="2"/>
  <c r="J124" i="2"/>
  <c r="L124" i="2"/>
  <c r="L109" i="2"/>
  <c r="J109" i="2"/>
  <c r="C104" i="2"/>
  <c r="K104" i="2"/>
  <c r="L104" i="2"/>
  <c r="K96" i="2"/>
  <c r="L96" i="2"/>
  <c r="K88" i="2"/>
  <c r="L88" i="2"/>
  <c r="V82" i="2"/>
  <c r="J82" i="2"/>
  <c r="K82" i="2"/>
  <c r="L67" i="2"/>
  <c r="K48" i="2"/>
  <c r="L48" i="2"/>
  <c r="L37" i="2"/>
  <c r="J26" i="2"/>
  <c r="K26" i="2"/>
  <c r="J20" i="2"/>
  <c r="K20" i="2"/>
  <c r="L20" i="2"/>
  <c r="J193" i="2"/>
  <c r="J161" i="2"/>
  <c r="K150" i="2"/>
  <c r="J129" i="2"/>
  <c r="J97" i="2"/>
  <c r="K77" i="2"/>
  <c r="L34" i="2"/>
  <c r="J199" i="2"/>
  <c r="K199" i="2"/>
  <c r="L199" i="2"/>
  <c r="D178" i="2"/>
  <c r="J178" i="2"/>
  <c r="K178" i="2"/>
  <c r="J164" i="2"/>
  <c r="K164" i="2"/>
  <c r="L164" i="2"/>
  <c r="L177" i="2"/>
  <c r="J172" i="2"/>
  <c r="K172" i="2"/>
  <c r="L172" i="2"/>
  <c r="V166" i="2"/>
  <c r="J166" i="2"/>
  <c r="L166" i="2"/>
  <c r="D121" i="2"/>
  <c r="K121" i="2"/>
  <c r="L121" i="2"/>
  <c r="K113" i="2"/>
  <c r="L113" i="2"/>
  <c r="F98" i="2"/>
  <c r="J95" i="2"/>
  <c r="K95" i="2"/>
  <c r="L95" i="2"/>
  <c r="L93" i="2"/>
  <c r="J93" i="2"/>
  <c r="J87" i="2"/>
  <c r="K87" i="2"/>
  <c r="L87" i="2"/>
  <c r="J81" i="2"/>
  <c r="J76" i="2"/>
  <c r="K76" i="2"/>
  <c r="L76" i="2"/>
  <c r="K66" i="2"/>
  <c r="J60" i="2"/>
  <c r="K60" i="2"/>
  <c r="L60" i="2"/>
  <c r="K56" i="2"/>
  <c r="L56" i="2"/>
  <c r="J52" i="2"/>
  <c r="K52" i="2"/>
  <c r="L52" i="2"/>
  <c r="J36" i="2"/>
  <c r="K36" i="2"/>
  <c r="L36" i="2"/>
  <c r="D32" i="2"/>
  <c r="L32" i="2"/>
  <c r="K25" i="2"/>
  <c r="J19" i="2"/>
  <c r="K19" i="2"/>
  <c r="L19" i="2"/>
  <c r="I189" i="2"/>
  <c r="J192" i="2"/>
  <c r="K181" i="2"/>
  <c r="J160" i="2"/>
  <c r="K117" i="2"/>
  <c r="J96" i="2"/>
  <c r="L74" i="2"/>
  <c r="W199" i="2"/>
  <c r="D195" i="2"/>
  <c r="J195" i="2"/>
  <c r="K195" i="2"/>
  <c r="J190" i="2"/>
  <c r="D187" i="2"/>
  <c r="J187" i="2"/>
  <c r="K187" i="2"/>
  <c r="C185" i="2"/>
  <c r="O185" i="2" s="1"/>
  <c r="F176" i="2"/>
  <c r="K176" i="2"/>
  <c r="L176" i="2"/>
  <c r="C171" i="2"/>
  <c r="J171" i="2"/>
  <c r="K171" i="2"/>
  <c r="K168" i="2"/>
  <c r="L168" i="2"/>
  <c r="D158" i="2"/>
  <c r="J158" i="2"/>
  <c r="L158" i="2"/>
  <c r="J134" i="2"/>
  <c r="L134" i="2"/>
  <c r="F110" i="2"/>
  <c r="V108" i="2"/>
  <c r="C107" i="2"/>
  <c r="N107" i="2" s="1"/>
  <c r="J107" i="2"/>
  <c r="K107" i="2"/>
  <c r="J103" i="2"/>
  <c r="K103" i="2"/>
  <c r="L103" i="2"/>
  <c r="F86" i="2"/>
  <c r="J86" i="2"/>
  <c r="K86" i="2"/>
  <c r="L86" i="2"/>
  <c r="K80" i="2"/>
  <c r="L80" i="2"/>
  <c r="J75" i="2"/>
  <c r="K75" i="2"/>
  <c r="L75" i="2"/>
  <c r="W65" i="2"/>
  <c r="J63" i="2"/>
  <c r="K63" i="2"/>
  <c r="L63" i="2"/>
  <c r="T41" i="2"/>
  <c r="F29" i="2"/>
  <c r="D24" i="2"/>
  <c r="K24" i="2"/>
  <c r="L24" i="2"/>
  <c r="F18" i="2"/>
  <c r="J18" i="2"/>
  <c r="K18" i="2"/>
  <c r="J201" i="2"/>
  <c r="J169" i="2"/>
  <c r="K158" i="2"/>
  <c r="K126" i="2"/>
  <c r="K93" i="2"/>
  <c r="L50" i="2"/>
  <c r="J162" i="2"/>
  <c r="K200" i="2"/>
  <c r="J194" i="2"/>
  <c r="K194" i="2"/>
  <c r="V189" i="2"/>
  <c r="V186" i="2"/>
  <c r="K184" i="2"/>
  <c r="L184" i="2"/>
  <c r="L181" i="2"/>
  <c r="J181" i="2"/>
  <c r="J148" i="2"/>
  <c r="K148" i="2"/>
  <c r="L148" i="2"/>
  <c r="J147" i="2"/>
  <c r="D143" i="2"/>
  <c r="E143" i="2" s="1"/>
  <c r="Q140" i="2" a="1"/>
  <c r="Q140" i="2" s="1"/>
  <c r="C137" i="2"/>
  <c r="M137" i="2" s="1"/>
  <c r="K137" i="2"/>
  <c r="L137" i="2"/>
  <c r="J131" i="2"/>
  <c r="L125" i="2"/>
  <c r="J125" i="2"/>
  <c r="J118" i="2"/>
  <c r="L118" i="2"/>
  <c r="J102" i="2"/>
  <c r="L102" i="2"/>
  <c r="J91" i="2"/>
  <c r="K91" i="2"/>
  <c r="L91" i="2"/>
  <c r="V74" i="2"/>
  <c r="K70" i="2"/>
  <c r="J62" i="2"/>
  <c r="K62" i="2"/>
  <c r="L62" i="2"/>
  <c r="C41" i="2"/>
  <c r="C29" i="2"/>
  <c r="L29" i="2"/>
  <c r="J29" i="2"/>
  <c r="K23" i="2"/>
  <c r="V17" i="2"/>
  <c r="J12" i="2"/>
  <c r="K12" i="2"/>
  <c r="L12" i="2"/>
  <c r="K189" i="2"/>
  <c r="L178" i="2"/>
  <c r="J168" i="2"/>
  <c r="K157" i="2"/>
  <c r="K125" i="2"/>
  <c r="J104" i="2"/>
  <c r="L90" i="2"/>
  <c r="K69" i="2"/>
  <c r="J48" i="2"/>
  <c r="L26" i="2"/>
  <c r="D199" i="2"/>
  <c r="E199" i="2" s="1"/>
  <c r="C195" i="2"/>
  <c r="F174" i="2"/>
  <c r="C96" i="2"/>
  <c r="F79" i="2"/>
  <c r="W63" i="2"/>
  <c r="D63" i="2"/>
  <c r="V48" i="2"/>
  <c r="D31" i="2"/>
  <c r="D19" i="2"/>
  <c r="V64" i="2"/>
  <c r="F52" i="2"/>
  <c r="V145" i="2"/>
  <c r="V101" i="2"/>
  <c r="V95" i="2"/>
  <c r="V65" i="2"/>
  <c r="V62" i="2"/>
  <c r="V44" i="2"/>
  <c r="R41" i="2" a="1"/>
  <c r="R41" i="2" s="1"/>
  <c r="F34" i="2"/>
  <c r="Q199" i="2" a="1"/>
  <c r="Q199" i="2" s="1"/>
  <c r="W189" i="2"/>
  <c r="V181" i="2"/>
  <c r="W179" i="2"/>
  <c r="W164" i="2"/>
  <c r="V157" i="2"/>
  <c r="W147" i="2"/>
  <c r="D145" i="2"/>
  <c r="N145" i="2" s="1"/>
  <c r="W139" i="2"/>
  <c r="P127" i="2" a="1"/>
  <c r="P127" i="2" s="1"/>
  <c r="W123" i="2"/>
  <c r="H108" i="2"/>
  <c r="W96" i="2"/>
  <c r="D95" i="2"/>
  <c r="D86" i="2"/>
  <c r="D52" i="2"/>
  <c r="F47" i="2"/>
  <c r="F41" i="2"/>
  <c r="D34" i="2"/>
  <c r="V27" i="2"/>
  <c r="F12" i="2"/>
  <c r="V169" i="2"/>
  <c r="V139" i="2"/>
  <c r="F17" i="2"/>
  <c r="G199" i="2"/>
  <c r="W195" i="2"/>
  <c r="U189" i="2"/>
  <c r="D179" i="2"/>
  <c r="F127" i="2"/>
  <c r="R96" i="2" a="1"/>
  <c r="R96" i="2" s="1"/>
  <c r="V93" i="2"/>
  <c r="F75" i="2"/>
  <c r="F64" i="2"/>
  <c r="V52" i="2"/>
  <c r="V34" i="2"/>
  <c r="D17" i="2"/>
  <c r="F199" i="2"/>
  <c r="Q195" i="2" a="1"/>
  <c r="Q195" i="2" s="1"/>
  <c r="V190" i="2"/>
  <c r="T189" i="2"/>
  <c r="D127" i="2"/>
  <c r="V107" i="2"/>
  <c r="E103" i="2"/>
  <c r="V97" i="2"/>
  <c r="F96" i="2"/>
  <c r="V79" i="2"/>
  <c r="D75" i="2"/>
  <c r="W70" i="2"/>
  <c r="D44" i="2"/>
  <c r="V32" i="2"/>
  <c r="F24" i="2"/>
  <c r="F20" i="2"/>
  <c r="W17" i="2"/>
  <c r="C17" i="2"/>
  <c r="P17" i="2" s="1" a="1"/>
  <c r="P17" i="2" s="1"/>
  <c r="G195" i="2"/>
  <c r="C194" i="2"/>
  <c r="D194" i="2"/>
  <c r="V180" i="2"/>
  <c r="D193" i="2"/>
  <c r="C193" i="2"/>
  <c r="W193" i="2"/>
  <c r="C167" i="2"/>
  <c r="V167" i="2"/>
  <c r="W167" i="2"/>
  <c r="H167" i="2"/>
  <c r="D129" i="2"/>
  <c r="C182" i="2"/>
  <c r="E182" i="2"/>
  <c r="R182" i="2" a="1"/>
  <c r="R182" i="2" s="1"/>
  <c r="P182" i="2" a="1"/>
  <c r="P182" i="2" s="1"/>
  <c r="D196" i="2"/>
  <c r="V193" i="2"/>
  <c r="G187" i="2"/>
  <c r="Q182" i="2" a="1"/>
  <c r="Q182" i="2" s="1"/>
  <c r="C177" i="2"/>
  <c r="D125" i="2"/>
  <c r="V125" i="2"/>
  <c r="W111" i="2"/>
  <c r="C66" i="2"/>
  <c r="H182" i="2"/>
  <c r="D157" i="2"/>
  <c r="W157" i="2"/>
  <c r="H187" i="2"/>
  <c r="F187" i="2"/>
  <c r="Q187" i="2" a="1"/>
  <c r="Q187" i="2" s="1"/>
  <c r="C187" i="2"/>
  <c r="W187" i="2"/>
  <c r="P185" i="2" a="1"/>
  <c r="P185" i="2" s="1"/>
  <c r="W185" i="2"/>
  <c r="F182" i="2"/>
  <c r="G176" i="2"/>
  <c r="C176" i="2"/>
  <c r="F114" i="2"/>
  <c r="D114" i="2"/>
  <c r="V114" i="2"/>
  <c r="D82" i="2"/>
  <c r="U82" i="2"/>
  <c r="H82" i="2"/>
  <c r="Q82" i="2" a="1"/>
  <c r="Q82" i="2" s="1"/>
  <c r="T82" i="2"/>
  <c r="C82" i="2"/>
  <c r="F82" i="2"/>
  <c r="U194" i="2"/>
  <c r="F194" i="2"/>
  <c r="H193" i="2"/>
  <c r="C186" i="2"/>
  <c r="E186" i="2"/>
  <c r="U186" i="2"/>
  <c r="P186" i="2" a="1"/>
  <c r="P186" i="2" s="1"/>
  <c r="F184" i="2"/>
  <c r="R183" i="2" a="1"/>
  <c r="R183" i="2" s="1"/>
  <c r="D182" i="2"/>
  <c r="D181" i="2"/>
  <c r="W181" i="2"/>
  <c r="D168" i="2"/>
  <c r="V168" i="2"/>
  <c r="V165" i="2"/>
  <c r="C165" i="2"/>
  <c r="D113" i="2"/>
  <c r="F113" i="2"/>
  <c r="V143" i="2"/>
  <c r="G143" i="2"/>
  <c r="E135" i="2"/>
  <c r="W132" i="2"/>
  <c r="E132" i="2"/>
  <c r="E131" i="2"/>
  <c r="G86" i="2"/>
  <c r="D84" i="2"/>
  <c r="W81" i="2"/>
  <c r="D77" i="2"/>
  <c r="F68" i="2"/>
  <c r="V57" i="2"/>
  <c r="F190" i="2"/>
  <c r="W169" i="2"/>
  <c r="H145" i="2"/>
  <c r="F143" i="2"/>
  <c r="U137" i="2"/>
  <c r="R135" i="2" a="1"/>
  <c r="R135" i="2" s="1"/>
  <c r="D135" i="2"/>
  <c r="V133" i="2"/>
  <c r="V132" i="2"/>
  <c r="D132" i="2"/>
  <c r="I132" i="2" s="1"/>
  <c r="F128" i="2"/>
  <c r="R127" i="2" a="1"/>
  <c r="R127" i="2" s="1"/>
  <c r="E127" i="2"/>
  <c r="V123" i="2"/>
  <c r="D116" i="2"/>
  <c r="R107" i="2" a="1"/>
  <c r="R107" i="2" s="1"/>
  <c r="V105" i="2"/>
  <c r="Q103" i="2" a="1"/>
  <c r="Q103" i="2" s="1"/>
  <c r="V86" i="2"/>
  <c r="D73" i="2"/>
  <c r="I73" i="2" s="1"/>
  <c r="W73" i="2"/>
  <c r="T73" i="2"/>
  <c r="E61" i="2"/>
  <c r="V61" i="2"/>
  <c r="W61" i="2"/>
  <c r="D61" i="2"/>
  <c r="E86" i="2"/>
  <c r="W86" i="2"/>
  <c r="C86" i="2"/>
  <c r="R86" i="2" a="1"/>
  <c r="R86" i="2" s="1"/>
  <c r="C79" i="2"/>
  <c r="P79" i="2" a="1"/>
  <c r="P79" i="2" s="1"/>
  <c r="D79" i="2"/>
  <c r="F57" i="2"/>
  <c r="D57" i="2"/>
  <c r="D191" i="2"/>
  <c r="H189" i="2"/>
  <c r="F175" i="2"/>
  <c r="V158" i="2"/>
  <c r="H156" i="2"/>
  <c r="R147" i="2" a="1"/>
  <c r="R147" i="2" s="1"/>
  <c r="D147" i="2"/>
  <c r="T145" i="2"/>
  <c r="Q143" i="2" a="1"/>
  <c r="Q143" i="2" s="1"/>
  <c r="C143" i="2"/>
  <c r="F139" i="2"/>
  <c r="P135" i="2" a="1"/>
  <c r="P135" i="2" s="1"/>
  <c r="Q132" i="2" a="1"/>
  <c r="Q132" i="2" s="1"/>
  <c r="P131" i="2" a="1"/>
  <c r="P131" i="2" s="1"/>
  <c r="V130" i="2"/>
  <c r="V128" i="2"/>
  <c r="C128" i="2"/>
  <c r="V124" i="2"/>
  <c r="F123" i="2"/>
  <c r="V121" i="2"/>
  <c r="U108" i="2"/>
  <c r="D108" i="2"/>
  <c r="F107" i="2"/>
  <c r="W104" i="2"/>
  <c r="D104" i="2"/>
  <c r="C103" i="2"/>
  <c r="D97" i="2"/>
  <c r="T79" i="2"/>
  <c r="W77" i="2"/>
  <c r="Q145" i="2" a="1"/>
  <c r="Q145" i="2" s="1"/>
  <c r="W135" i="2"/>
  <c r="H135" i="2"/>
  <c r="V131" i="2"/>
  <c r="H131" i="2"/>
  <c r="W116" i="2"/>
  <c r="V87" i="2"/>
  <c r="Q86" i="2" a="1"/>
  <c r="Q86" i="2" s="1"/>
  <c r="F84" i="2"/>
  <c r="Q81" i="2" a="1"/>
  <c r="Q81" i="2" s="1"/>
  <c r="R79" i="2" a="1"/>
  <c r="R79" i="2" s="1"/>
  <c r="V59" i="2"/>
  <c r="C59" i="2"/>
  <c r="D59" i="2"/>
  <c r="Q59" i="2" a="1"/>
  <c r="Q59" i="2" s="1"/>
  <c r="E59" i="2"/>
  <c r="R59" i="2" a="1"/>
  <c r="R59" i="2" s="1"/>
  <c r="U59" i="2"/>
  <c r="D169" i="2"/>
  <c r="F158" i="2"/>
  <c r="P143" i="2" a="1"/>
  <c r="P143" i="2" s="1"/>
  <c r="D139" i="2"/>
  <c r="E139" i="2" s="1"/>
  <c r="D137" i="2"/>
  <c r="V135" i="2"/>
  <c r="G135" i="2"/>
  <c r="P132" i="2" a="1"/>
  <c r="P132" i="2" s="1"/>
  <c r="T131" i="2"/>
  <c r="G131" i="2"/>
  <c r="W127" i="2"/>
  <c r="H127" i="2"/>
  <c r="C124" i="2"/>
  <c r="Q123" i="2" a="1"/>
  <c r="Q123" i="2" s="1"/>
  <c r="D123" i="2"/>
  <c r="R123" i="2" s="1" a="1"/>
  <c r="R123" i="2" s="1"/>
  <c r="Q108" i="2" a="1"/>
  <c r="Q108" i="2" s="1"/>
  <c r="W107" i="2"/>
  <c r="D107" i="2"/>
  <c r="T103" i="2"/>
  <c r="F101" i="2"/>
  <c r="F87" i="2"/>
  <c r="P86" i="2" a="1"/>
  <c r="P86" i="2" s="1"/>
  <c r="E84" i="2"/>
  <c r="H81" i="2"/>
  <c r="P77" i="2" a="1"/>
  <c r="P77" i="2" s="1"/>
  <c r="D76" i="2"/>
  <c r="V76" i="2"/>
  <c r="F76" i="2"/>
  <c r="F74" i="2"/>
  <c r="W74" i="2"/>
  <c r="Q55" i="2" a="1"/>
  <c r="Q55" i="2" s="1"/>
  <c r="F154" i="2"/>
  <c r="P145" i="2" a="1"/>
  <c r="P145" i="2" s="1"/>
  <c r="W143" i="2"/>
  <c r="Q139" i="2" a="1"/>
  <c r="Q139" i="2" s="1"/>
  <c r="C139" i="2"/>
  <c r="W137" i="2"/>
  <c r="T135" i="2"/>
  <c r="F135" i="2"/>
  <c r="F132" i="2"/>
  <c r="F131" i="2"/>
  <c r="T104" i="2"/>
  <c r="F95" i="2"/>
  <c r="C93" i="2"/>
  <c r="D87" i="2"/>
  <c r="H86" i="2"/>
  <c r="V84" i="2"/>
  <c r="C84" i="2"/>
  <c r="G84" i="2" s="1"/>
  <c r="C81" i="2"/>
  <c r="C77" i="2"/>
  <c r="E77" i="2" s="1"/>
  <c r="C75" i="2"/>
  <c r="R75" i="2" s="1" a="1"/>
  <c r="R75" i="2" s="1"/>
  <c r="H75" i="2"/>
  <c r="V75" i="2"/>
  <c r="Q75" i="2" a="1"/>
  <c r="Q75" i="2" s="1"/>
  <c r="G75" i="2"/>
  <c r="E73" i="2"/>
  <c r="D68" i="2"/>
  <c r="D67" i="2"/>
  <c r="E67" i="2" s="1"/>
  <c r="H67" i="2"/>
  <c r="V67" i="2"/>
  <c r="W67" i="2"/>
  <c r="C67" i="2"/>
  <c r="P67" i="2" s="1" a="1"/>
  <c r="P67" i="2" s="1"/>
  <c r="R67" i="2" a="1"/>
  <c r="R67" i="2" s="1"/>
  <c r="W59" i="2"/>
  <c r="W57" i="2"/>
  <c r="V49" i="2"/>
  <c r="C49" i="2"/>
  <c r="F48" i="2"/>
  <c r="V46" i="2"/>
  <c r="F44" i="2"/>
  <c r="H41" i="2"/>
  <c r="V38" i="2"/>
  <c r="F38" i="2"/>
  <c r="D37" i="2"/>
  <c r="F36" i="2"/>
  <c r="D15" i="2"/>
  <c r="D38" i="2"/>
  <c r="C37" i="2"/>
  <c r="D36" i="2"/>
  <c r="V15" i="2"/>
  <c r="V60" i="2"/>
  <c r="V56" i="2"/>
  <c r="Q49" i="2" a="1"/>
  <c r="Q49" i="2" s="1"/>
  <c r="F43" i="2"/>
  <c r="W37" i="2"/>
  <c r="F26" i="2"/>
  <c r="V21" i="2"/>
  <c r="V19" i="2"/>
  <c r="V12" i="2"/>
  <c r="V11" i="2"/>
  <c r="V71" i="2"/>
  <c r="W69" i="2"/>
  <c r="T63" i="2"/>
  <c r="G63" i="2"/>
  <c r="D60" i="2"/>
  <c r="D56" i="2"/>
  <c r="V43" i="2"/>
  <c r="D43" i="2"/>
  <c r="W41" i="2"/>
  <c r="V37" i="2"/>
  <c r="V26" i="2"/>
  <c r="D26" i="2"/>
  <c r="Q17" i="2" a="1"/>
  <c r="Q17" i="2" s="1"/>
  <c r="V16" i="2"/>
  <c r="F46" i="2"/>
  <c r="T37" i="2"/>
  <c r="W29" i="2"/>
  <c r="R37" i="2" a="1"/>
  <c r="R37" i="2" s="1"/>
  <c r="V20" i="2"/>
  <c r="D71" i="2"/>
  <c r="T71" i="2" s="1"/>
  <c r="C69" i="2"/>
  <c r="D64" i="2"/>
  <c r="Q63" i="2" a="1"/>
  <c r="Q63" i="2" s="1"/>
  <c r="C63" i="2"/>
  <c r="R63" i="2" s="1" a="1"/>
  <c r="R63" i="2" s="1"/>
  <c r="W49" i="2"/>
  <c r="D49" i="2"/>
  <c r="E49" i="2" s="1"/>
  <c r="P41" i="2" a="1"/>
  <c r="P41" i="2" s="1"/>
  <c r="F16" i="2"/>
  <c r="F13" i="2"/>
  <c r="G160" i="2"/>
  <c r="C160" i="2"/>
  <c r="Q160" i="2" a="1"/>
  <c r="Q160" i="2" s="1"/>
  <c r="D160" i="2"/>
  <c r="E160" i="2"/>
  <c r="R160" i="2" a="1"/>
  <c r="R160" i="2" s="1"/>
  <c r="F160" i="2"/>
  <c r="T160" i="2"/>
  <c r="H160" i="2"/>
  <c r="U160" i="2"/>
  <c r="V160" i="2"/>
  <c r="P160" i="2" a="1"/>
  <c r="P160" i="2" s="1"/>
  <c r="W160" i="2"/>
  <c r="G152" i="2"/>
  <c r="T152" i="2"/>
  <c r="U152" i="2"/>
  <c r="C152" i="2"/>
  <c r="H152" i="2" s="1"/>
  <c r="R152" i="2" a="1"/>
  <c r="R152" i="2" s="1"/>
  <c r="D152" i="2"/>
  <c r="Q152" i="2" s="1" a="1"/>
  <c r="Q152" i="2" s="1"/>
  <c r="V152" i="2"/>
  <c r="E152" i="2"/>
  <c r="W152" i="2"/>
  <c r="F152" i="2"/>
  <c r="P152" i="2" a="1"/>
  <c r="P152" i="2" s="1"/>
  <c r="U159" i="2"/>
  <c r="C159" i="2"/>
  <c r="R159" i="2" s="1" a="1"/>
  <c r="R159" i="2" s="1"/>
  <c r="D159" i="2"/>
  <c r="P159" i="2" s="1" a="1"/>
  <c r="P159" i="2" s="1"/>
  <c r="E159" i="2"/>
  <c r="F159" i="2"/>
  <c r="G159" i="2"/>
  <c r="H159" i="2"/>
  <c r="W159" i="2"/>
  <c r="G148" i="2"/>
  <c r="T148" i="2"/>
  <c r="U148" i="2"/>
  <c r="C148" i="2"/>
  <c r="H148" i="2" s="1"/>
  <c r="R148" i="2" a="1"/>
  <c r="R148" i="2" s="1"/>
  <c r="D148" i="2"/>
  <c r="Q148" i="2" s="1" a="1"/>
  <c r="Q148" i="2" s="1"/>
  <c r="V148" i="2"/>
  <c r="E148" i="2"/>
  <c r="W148" i="2"/>
  <c r="F148" i="2"/>
  <c r="P148" i="2" a="1"/>
  <c r="P148" i="2" s="1"/>
  <c r="E161" i="2"/>
  <c r="C161" i="2"/>
  <c r="R161" i="2" s="1" a="1"/>
  <c r="R161" i="2" s="1"/>
  <c r="Q161" i="2" a="1"/>
  <c r="Q161" i="2" s="1"/>
  <c r="D161" i="2"/>
  <c r="F161" i="2"/>
  <c r="G161" i="2"/>
  <c r="H161" i="2"/>
  <c r="U161" i="2"/>
  <c r="V161" i="2"/>
  <c r="P161" i="2" a="1"/>
  <c r="P161" i="2" s="1"/>
  <c r="W161" i="2"/>
  <c r="C150" i="2"/>
  <c r="E150" i="2" s="1"/>
  <c r="W150" i="2"/>
  <c r="D150" i="2"/>
  <c r="Q150" i="2" a="1"/>
  <c r="Q150" i="2" s="1"/>
  <c r="F150" i="2"/>
  <c r="U150" i="2"/>
  <c r="V150" i="2"/>
  <c r="H150" i="2"/>
  <c r="R150" i="2" a="1"/>
  <c r="R150" i="2" s="1"/>
  <c r="C162" i="2"/>
  <c r="E162" i="2" s="1"/>
  <c r="W162" i="2"/>
  <c r="D162" i="2"/>
  <c r="R162" i="2" a="1"/>
  <c r="R162" i="2" s="1"/>
  <c r="F162" i="2"/>
  <c r="H162" i="2"/>
  <c r="U162" i="2"/>
  <c r="V162" i="2"/>
  <c r="P162" i="2" a="1"/>
  <c r="P162" i="2" s="1"/>
  <c r="P201" i="2" a="1"/>
  <c r="P201" i="2" s="1"/>
  <c r="Q192" i="2" a="1"/>
  <c r="Q192" i="2" s="1"/>
  <c r="D192" i="2"/>
  <c r="E192" i="2" s="1"/>
  <c r="D188" i="2"/>
  <c r="D184" i="2"/>
  <c r="Q180" i="2" a="1"/>
  <c r="Q180" i="2" s="1"/>
  <c r="D180" i="2"/>
  <c r="F178" i="2"/>
  <c r="F177" i="2"/>
  <c r="R176" i="2" a="1"/>
  <c r="R176" i="2" s="1"/>
  <c r="E176" i="2"/>
  <c r="R175" i="2" a="1"/>
  <c r="R175" i="2" s="1"/>
  <c r="E175" i="2"/>
  <c r="R174" i="2" a="1"/>
  <c r="R174" i="2" s="1"/>
  <c r="D173" i="2"/>
  <c r="D172" i="2"/>
  <c r="E172" i="2" s="1"/>
  <c r="D171" i="2"/>
  <c r="Q169" i="2" a="1"/>
  <c r="Q169" i="2" s="1"/>
  <c r="C169" i="2"/>
  <c r="P169" i="2" s="1" a="1"/>
  <c r="P169" i="2" s="1"/>
  <c r="Q168" i="2" a="1"/>
  <c r="Q168" i="2" s="1"/>
  <c r="C168" i="2"/>
  <c r="G168" i="2" s="1"/>
  <c r="Q167" i="2" a="1"/>
  <c r="Q167" i="2" s="1"/>
  <c r="C166" i="2"/>
  <c r="W166" i="2"/>
  <c r="V153" i="2"/>
  <c r="V146" i="2"/>
  <c r="C138" i="2"/>
  <c r="Q138" i="2" s="1" a="1"/>
  <c r="Q138" i="2" s="1"/>
  <c r="W138" i="2"/>
  <c r="D138" i="2"/>
  <c r="E138" i="2"/>
  <c r="P129" i="2" a="1"/>
  <c r="P129" i="2" s="1"/>
  <c r="C88" i="2"/>
  <c r="P88" i="2" s="1" a="1"/>
  <c r="P88" i="2" s="1"/>
  <c r="Q88" i="2" a="1"/>
  <c r="Q88" i="2" s="1"/>
  <c r="R88" i="2" a="1"/>
  <c r="R88" i="2" s="1"/>
  <c r="F88" i="2"/>
  <c r="W88" i="2"/>
  <c r="D88" i="2"/>
  <c r="G88" i="2"/>
  <c r="H88" i="2"/>
  <c r="V88" i="2"/>
  <c r="V106" i="2"/>
  <c r="U201" i="2"/>
  <c r="W200" i="2"/>
  <c r="C200" i="2"/>
  <c r="W196" i="2"/>
  <c r="C196" i="2"/>
  <c r="P196" i="2" s="1" a="1"/>
  <c r="P196" i="2" s="1"/>
  <c r="U193" i="2"/>
  <c r="W192" i="2"/>
  <c r="C192" i="2"/>
  <c r="W188" i="2"/>
  <c r="C188" i="2"/>
  <c r="W184" i="2"/>
  <c r="C184" i="2"/>
  <c r="W180" i="2"/>
  <c r="C180" i="2"/>
  <c r="R178" i="2" a="1"/>
  <c r="R178" i="2" s="1"/>
  <c r="D177" i="2"/>
  <c r="E177" i="2" s="1"/>
  <c r="D176" i="2"/>
  <c r="C173" i="2"/>
  <c r="Q172" i="2" a="1"/>
  <c r="Q172" i="2" s="1"/>
  <c r="C172" i="2"/>
  <c r="R172" i="2" s="1" a="1"/>
  <c r="R172" i="2" s="1"/>
  <c r="Q171" i="2" a="1"/>
  <c r="Q171" i="2" s="1"/>
  <c r="U167" i="2"/>
  <c r="C155" i="2"/>
  <c r="W155" i="2"/>
  <c r="V149" i="2"/>
  <c r="E141" i="2"/>
  <c r="F141" i="2"/>
  <c r="R141" i="2" a="1"/>
  <c r="R141" i="2" s="1"/>
  <c r="G141" i="2"/>
  <c r="V134" i="2"/>
  <c r="C126" i="2"/>
  <c r="G126" i="2" s="1"/>
  <c r="W126" i="2"/>
  <c r="D126" i="2"/>
  <c r="Q126" i="2" a="1"/>
  <c r="Q126" i="2" s="1"/>
  <c r="E126" i="2"/>
  <c r="F126" i="2"/>
  <c r="R126" i="2" a="1"/>
  <c r="R126" i="2" s="1"/>
  <c r="U126" i="2"/>
  <c r="C122" i="2"/>
  <c r="W122" i="2"/>
  <c r="D122" i="2"/>
  <c r="Q122" i="2" a="1"/>
  <c r="Q122" i="2" s="1"/>
  <c r="F122" i="2"/>
  <c r="C118" i="2"/>
  <c r="W118" i="2"/>
  <c r="D118" i="2"/>
  <c r="E118" i="2" s="1"/>
  <c r="F118" i="2"/>
  <c r="C102" i="2"/>
  <c r="U102" i="2" s="1"/>
  <c r="W102" i="2"/>
  <c r="D102" i="2"/>
  <c r="F102" i="2"/>
  <c r="G102" i="2"/>
  <c r="V102" i="2"/>
  <c r="Q102" i="2" a="1"/>
  <c r="Q102" i="2" s="1"/>
  <c r="V201" i="2"/>
  <c r="H201" i="2"/>
  <c r="V192" i="2"/>
  <c r="P192" i="2" a="1"/>
  <c r="P192" i="2" s="1"/>
  <c r="V184" i="2"/>
  <c r="C174" i="2"/>
  <c r="E174" i="2" s="1"/>
  <c r="W174" i="2"/>
  <c r="C146" i="2"/>
  <c r="W146" i="2"/>
  <c r="D146" i="2"/>
  <c r="E146" i="2" s="1"/>
  <c r="C134" i="2"/>
  <c r="U134" i="2" s="1"/>
  <c r="W134" i="2"/>
  <c r="D134" i="2"/>
  <c r="E134" i="2"/>
  <c r="F134" i="2"/>
  <c r="E129" i="2"/>
  <c r="F129" i="2"/>
  <c r="R129" i="2" a="1"/>
  <c r="R129" i="2" s="1"/>
  <c r="G129" i="2"/>
  <c r="H129" i="2"/>
  <c r="T129" i="2"/>
  <c r="U129" i="2"/>
  <c r="C129" i="2"/>
  <c r="Q129" i="2" s="1" a="1"/>
  <c r="Q129" i="2" s="1"/>
  <c r="W129" i="2"/>
  <c r="C91" i="2"/>
  <c r="W91" i="2"/>
  <c r="D91" i="2"/>
  <c r="T91" i="2" s="1"/>
  <c r="F91" i="2"/>
  <c r="R91" i="2" a="1"/>
  <c r="R91" i="2" s="1"/>
  <c r="V91" i="2"/>
  <c r="P188" i="2" a="1"/>
  <c r="P188" i="2" s="1"/>
  <c r="G201" i="2"/>
  <c r="W171" i="2"/>
  <c r="C83" i="2"/>
  <c r="W83" i="2"/>
  <c r="D83" i="2"/>
  <c r="E83" i="2" s="1"/>
  <c r="F83" i="2"/>
  <c r="V83" i="2"/>
  <c r="U184" i="2"/>
  <c r="C178" i="2"/>
  <c r="G178" i="2" s="1"/>
  <c r="W178" i="2"/>
  <c r="U175" i="2"/>
  <c r="P172" i="2" a="1"/>
  <c r="P172" i="2" s="1"/>
  <c r="R201" i="2" a="1"/>
  <c r="R201" i="2" s="1"/>
  <c r="F197" i="2"/>
  <c r="H196" i="2"/>
  <c r="V195" i="2"/>
  <c r="P195" i="2" a="1"/>
  <c r="P195" i="2" s="1"/>
  <c r="R193" i="2" a="1"/>
  <c r="R193" i="2" s="1"/>
  <c r="T192" i="2"/>
  <c r="V191" i="2"/>
  <c r="R189" i="2" a="1"/>
  <c r="R189" i="2" s="1"/>
  <c r="F189" i="2"/>
  <c r="V187" i="2"/>
  <c r="P187" i="2" a="1"/>
  <c r="P187" i="2" s="1"/>
  <c r="R185" i="2" a="1"/>
  <c r="R185" i="2" s="1"/>
  <c r="T184" i="2"/>
  <c r="F181" i="2"/>
  <c r="T180" i="2"/>
  <c r="H180" i="2"/>
  <c r="P178" i="2" a="1"/>
  <c r="P178" i="2" s="1"/>
  <c r="W177" i="2"/>
  <c r="P177" i="2" a="1"/>
  <c r="P177" i="2" s="1"/>
  <c r="W176" i="2"/>
  <c r="P176" i="2" a="1"/>
  <c r="P176" i="2" s="1"/>
  <c r="W175" i="2"/>
  <c r="P175" i="2" a="1"/>
  <c r="P175" i="2" s="1"/>
  <c r="V174" i="2"/>
  <c r="V173" i="2"/>
  <c r="V172" i="2"/>
  <c r="V171" i="2"/>
  <c r="H171" i="2"/>
  <c r="H170" i="2"/>
  <c r="U169" i="2"/>
  <c r="H169" i="2"/>
  <c r="U168" i="2"/>
  <c r="H168" i="2"/>
  <c r="T167" i="2"/>
  <c r="G167" i="2"/>
  <c r="T166" i="2"/>
  <c r="G166" i="2"/>
  <c r="T164" i="2"/>
  <c r="F164" i="2"/>
  <c r="H155" i="2"/>
  <c r="R146" i="2" a="1"/>
  <c r="R146" i="2" s="1"/>
  <c r="P141" i="2" a="1"/>
  <c r="P141" i="2" s="1"/>
  <c r="E137" i="2"/>
  <c r="F137" i="2"/>
  <c r="R137" i="2" a="1"/>
  <c r="R137" i="2" s="1"/>
  <c r="G137" i="2"/>
  <c r="F136" i="2"/>
  <c r="F133" i="2"/>
  <c r="P125" i="2" a="1"/>
  <c r="P125" i="2" s="1"/>
  <c r="E90" i="2"/>
  <c r="C90" i="2"/>
  <c r="Q90" i="2" a="1"/>
  <c r="Q90" i="2" s="1"/>
  <c r="F90" i="2"/>
  <c r="G90" i="2"/>
  <c r="T90" i="2"/>
  <c r="P90" i="2" a="1"/>
  <c r="P90" i="2" s="1"/>
  <c r="W90" i="2"/>
  <c r="D90" i="2"/>
  <c r="H90" i="2"/>
  <c r="R90" i="2" a="1"/>
  <c r="R90" i="2" s="1"/>
  <c r="V90" i="2"/>
  <c r="V197" i="2"/>
  <c r="U196" i="2"/>
  <c r="U192" i="2"/>
  <c r="G189" i="2"/>
  <c r="U188" i="2"/>
  <c r="U180" i="2"/>
  <c r="Q178" i="2" a="1"/>
  <c r="Q178" i="2" s="1"/>
  <c r="P174" i="2" a="1"/>
  <c r="P174" i="2" s="1"/>
  <c r="W172" i="2"/>
  <c r="F201" i="2"/>
  <c r="V199" i="2"/>
  <c r="P199" i="2" a="1"/>
  <c r="P199" i="2" s="1"/>
  <c r="D198" i="2"/>
  <c r="Q198" i="2" s="1" a="1"/>
  <c r="Q198" i="2" s="1"/>
  <c r="T196" i="2"/>
  <c r="F193" i="2"/>
  <c r="H192" i="2"/>
  <c r="T188" i="2"/>
  <c r="F185" i="2"/>
  <c r="E201" i="2"/>
  <c r="U199" i="2"/>
  <c r="W198" i="2"/>
  <c r="G196" i="2"/>
  <c r="U195" i="2"/>
  <c r="W194" i="2"/>
  <c r="E193" i="2"/>
  <c r="G192" i="2"/>
  <c r="W190" i="2"/>
  <c r="E189" i="2"/>
  <c r="G188" i="2"/>
  <c r="U187" i="2"/>
  <c r="W186" i="2"/>
  <c r="E185" i="2"/>
  <c r="G184" i="2"/>
  <c r="W182" i="2"/>
  <c r="G180" i="2"/>
  <c r="V178" i="2"/>
  <c r="V177" i="2"/>
  <c r="V176" i="2"/>
  <c r="V175" i="2"/>
  <c r="H175" i="2"/>
  <c r="U174" i="2"/>
  <c r="H174" i="2"/>
  <c r="U173" i="2"/>
  <c r="H173" i="2"/>
  <c r="U172" i="2"/>
  <c r="H172" i="2"/>
  <c r="T171" i="2"/>
  <c r="G171" i="2"/>
  <c r="T169" i="2"/>
  <c r="G169" i="2"/>
  <c r="T168" i="2"/>
  <c r="F168" i="2"/>
  <c r="F167" i="2"/>
  <c r="F166" i="2"/>
  <c r="F165" i="2"/>
  <c r="E164" i="2"/>
  <c r="E163" i="2"/>
  <c r="Q157" i="2" a="1"/>
  <c r="Q157" i="2" s="1"/>
  <c r="C157" i="2"/>
  <c r="V155" i="2"/>
  <c r="P146" i="2" a="1"/>
  <c r="P146" i="2" s="1"/>
  <c r="U145" i="2"/>
  <c r="W142" i="2"/>
  <c r="G140" i="2"/>
  <c r="H140" i="2"/>
  <c r="T140" i="2"/>
  <c r="U140" i="2"/>
  <c r="H138" i="2"/>
  <c r="Q137" i="2" a="1"/>
  <c r="Q137" i="2" s="1"/>
  <c r="W136" i="2"/>
  <c r="R134" i="2" a="1"/>
  <c r="R134" i="2" s="1"/>
  <c r="C130" i="2"/>
  <c r="G130" i="2" s="1"/>
  <c r="W130" i="2"/>
  <c r="D130" i="2"/>
  <c r="U130" i="2" s="1"/>
  <c r="F130" i="2"/>
  <c r="V126" i="2"/>
  <c r="V122" i="2"/>
  <c r="V118" i="2"/>
  <c r="T201" i="2"/>
  <c r="V200" i="2"/>
  <c r="V196" i="2"/>
  <c r="V188" i="2"/>
  <c r="G193" i="2"/>
  <c r="W173" i="2"/>
  <c r="Q201" i="2" a="1"/>
  <c r="Q201" i="2" s="1"/>
  <c r="R196" i="2" a="1"/>
  <c r="R196" i="2" s="1"/>
  <c r="T195" i="2"/>
  <c r="Q193" i="2" a="1"/>
  <c r="Q193" i="2" s="1"/>
  <c r="R192" i="2" a="1"/>
  <c r="R192" i="2" s="1"/>
  <c r="Q189" i="2" a="1"/>
  <c r="Q189" i="2" s="1"/>
  <c r="R188" i="2" a="1"/>
  <c r="R188" i="2" s="1"/>
  <c r="T187" i="2"/>
  <c r="Q185" i="2" a="1"/>
  <c r="Q185" i="2" s="1"/>
  <c r="R184" i="2" a="1"/>
  <c r="R184" i="2" s="1"/>
  <c r="R180" i="2" a="1"/>
  <c r="R180" i="2" s="1"/>
  <c r="U178" i="2"/>
  <c r="H178" i="2"/>
  <c r="H177" i="2"/>
  <c r="U176" i="2"/>
  <c r="H176" i="2"/>
  <c r="T175" i="2"/>
  <c r="G175" i="2"/>
  <c r="T174" i="2"/>
  <c r="G174" i="2"/>
  <c r="G173" i="2"/>
  <c r="T172" i="2"/>
  <c r="F172" i="2"/>
  <c r="F171" i="2"/>
  <c r="F170" i="2"/>
  <c r="F169" i="2"/>
  <c r="R168" i="2" a="1"/>
  <c r="R168" i="2" s="1"/>
  <c r="E168" i="2"/>
  <c r="R167" i="2" a="1"/>
  <c r="R167" i="2" s="1"/>
  <c r="E167" i="2"/>
  <c r="R166" i="2" a="1"/>
  <c r="R166" i="2" s="1"/>
  <c r="E166" i="2"/>
  <c r="D165" i="2"/>
  <c r="D164" i="2"/>
  <c r="C158" i="2"/>
  <c r="W158" i="2"/>
  <c r="T155" i="2"/>
  <c r="F155" i="2"/>
  <c r="C154" i="2"/>
  <c r="W154" i="2"/>
  <c r="E145" i="2"/>
  <c r="F145" i="2"/>
  <c r="R145" i="2" a="1"/>
  <c r="R145" i="2" s="1"/>
  <c r="G145" i="2"/>
  <c r="W141" i="2"/>
  <c r="H141" i="2"/>
  <c r="V138" i="2"/>
  <c r="G138" i="2"/>
  <c r="V136" i="2"/>
  <c r="D136" i="2"/>
  <c r="P134" i="2" a="1"/>
  <c r="P134" i="2" s="1"/>
  <c r="V129" i="2"/>
  <c r="T126" i="2"/>
  <c r="E125" i="2"/>
  <c r="F125" i="2"/>
  <c r="R125" i="2" a="1"/>
  <c r="R125" i="2" s="1"/>
  <c r="H125" i="2"/>
  <c r="T125" i="2"/>
  <c r="C125" i="2"/>
  <c r="G125" i="2" s="1"/>
  <c r="W125" i="2"/>
  <c r="T122" i="2"/>
  <c r="F121" i="2"/>
  <c r="C121" i="2"/>
  <c r="H121" i="2" s="1"/>
  <c r="W121" i="2"/>
  <c r="E117" i="2"/>
  <c r="F117" i="2"/>
  <c r="U117" i="2"/>
  <c r="C117" i="2"/>
  <c r="W117" i="2"/>
  <c r="H89" i="2"/>
  <c r="C109" i="2"/>
  <c r="W109" i="2"/>
  <c r="E109" i="2"/>
  <c r="C80" i="2"/>
  <c r="R80" i="2" s="1" a="1"/>
  <c r="R80" i="2" s="1"/>
  <c r="W80" i="2"/>
  <c r="D80" i="2"/>
  <c r="V80" i="2"/>
  <c r="F80" i="2"/>
  <c r="D58" i="2"/>
  <c r="Q58" i="2" a="1"/>
  <c r="Q58" i="2" s="1"/>
  <c r="E58" i="2"/>
  <c r="F58" i="2"/>
  <c r="R58" i="2" a="1"/>
  <c r="R58" i="2" s="1"/>
  <c r="H58" i="2"/>
  <c r="T58" i="2"/>
  <c r="C58" i="2"/>
  <c r="G58" i="2" s="1"/>
  <c r="P58" i="2" a="1"/>
  <c r="P58" i="2" s="1"/>
  <c r="U58" i="2"/>
  <c r="W58" i="2"/>
  <c r="C113" i="2"/>
  <c r="W113" i="2"/>
  <c r="E113" i="2"/>
  <c r="P109" i="2" a="1"/>
  <c r="P109" i="2" s="1"/>
  <c r="G103" i="2"/>
  <c r="U103" i="2"/>
  <c r="E96" i="2"/>
  <c r="G96" i="2"/>
  <c r="H96" i="2"/>
  <c r="T96" i="2"/>
  <c r="V116" i="2"/>
  <c r="W115" i="2"/>
  <c r="Q113" i="2" a="1"/>
  <c r="Q113" i="2" s="1"/>
  <c r="C110" i="2"/>
  <c r="H110" i="2" s="1"/>
  <c r="W110" i="2"/>
  <c r="R104" i="2" a="1"/>
  <c r="R104" i="2" s="1"/>
  <c r="C98" i="2"/>
  <c r="Q98" i="2" s="1" a="1"/>
  <c r="Q98" i="2" s="1"/>
  <c r="W98" i="2"/>
  <c r="D98" i="2"/>
  <c r="E98" i="2" s="1"/>
  <c r="Q96" i="2" a="1"/>
  <c r="Q96" i="2" s="1"/>
  <c r="C95" i="2"/>
  <c r="G95" i="2" s="1"/>
  <c r="W95" i="2"/>
  <c r="R95" i="2" a="1"/>
  <c r="R95" i="2" s="1"/>
  <c r="H95" i="2"/>
  <c r="D62" i="2"/>
  <c r="Q62" i="2" a="1"/>
  <c r="Q62" i="2" s="1"/>
  <c r="F62" i="2"/>
  <c r="R62" i="2" a="1"/>
  <c r="R62" i="2" s="1"/>
  <c r="G62" i="2"/>
  <c r="T62" i="2"/>
  <c r="C62" i="2"/>
  <c r="P62" i="2" s="1" a="1"/>
  <c r="P62" i="2" s="1"/>
  <c r="W62" i="2"/>
  <c r="W151" i="2"/>
  <c r="C151" i="2"/>
  <c r="U151" i="2" s="1"/>
  <c r="U132" i="2"/>
  <c r="V115" i="2"/>
  <c r="F115" i="2"/>
  <c r="V112" i="2"/>
  <c r="V109" i="2"/>
  <c r="H109" i="2"/>
  <c r="G107" i="2"/>
  <c r="U107" i="2"/>
  <c r="E104" i="2"/>
  <c r="G104" i="2"/>
  <c r="P103" i="2" a="1"/>
  <c r="P103" i="2" s="1"/>
  <c r="C101" i="2"/>
  <c r="W101" i="2"/>
  <c r="E101" i="2"/>
  <c r="R98" i="2" a="1"/>
  <c r="R98" i="2" s="1"/>
  <c r="T132" i="2"/>
  <c r="H132" i="2"/>
  <c r="C114" i="2"/>
  <c r="W114" i="2"/>
  <c r="F112" i="2"/>
  <c r="P110" i="2" a="1"/>
  <c r="P110" i="2" s="1"/>
  <c r="U109" i="2"/>
  <c r="G109" i="2"/>
  <c r="R108" i="2" a="1"/>
  <c r="R108" i="2" s="1"/>
  <c r="W103" i="2"/>
  <c r="H103" i="2"/>
  <c r="Q101" i="2" a="1"/>
  <c r="Q101" i="2" s="1"/>
  <c r="W100" i="2"/>
  <c r="P96" i="2" a="1"/>
  <c r="P96" i="2" s="1"/>
  <c r="U147" i="2"/>
  <c r="U143" i="2"/>
  <c r="U139" i="2"/>
  <c r="U135" i="2"/>
  <c r="U131" i="2"/>
  <c r="U127" i="2"/>
  <c r="V113" i="2"/>
  <c r="H113" i="2"/>
  <c r="D112" i="2"/>
  <c r="T109" i="2"/>
  <c r="F109" i="2"/>
  <c r="E108" i="2"/>
  <c r="G108" i="2"/>
  <c r="P107" i="2" a="1"/>
  <c r="P107" i="2" s="1"/>
  <c r="C105" i="2"/>
  <c r="W105" i="2"/>
  <c r="P104" i="2" a="1"/>
  <c r="P104" i="2" s="1"/>
  <c r="V103" i="2"/>
  <c r="F103" i="2"/>
  <c r="P101" i="2" a="1"/>
  <c r="P101" i="2" s="1"/>
  <c r="V100" i="2"/>
  <c r="C97" i="2"/>
  <c r="T97" i="2" s="1"/>
  <c r="W97" i="2"/>
  <c r="E97" i="2"/>
  <c r="F97" i="2"/>
  <c r="R97" i="2" a="1"/>
  <c r="R97" i="2" s="1"/>
  <c r="Q80" i="2" a="1"/>
  <c r="Q80" i="2" s="1"/>
  <c r="R81" i="2" a="1"/>
  <c r="R81" i="2" s="1"/>
  <c r="V77" i="2"/>
  <c r="V73" i="2"/>
  <c r="V69" i="2"/>
  <c r="D66" i="2"/>
  <c r="Q66" i="2" a="1"/>
  <c r="Q66" i="2" s="1"/>
  <c r="E66" i="2"/>
  <c r="G33" i="2"/>
  <c r="U33" i="2"/>
  <c r="C33" i="2"/>
  <c r="T33" i="2"/>
  <c r="D33" i="2"/>
  <c r="E33" i="2" s="1"/>
  <c r="V33" i="2"/>
  <c r="F33" i="2"/>
  <c r="W33" i="2"/>
  <c r="H33" i="2"/>
  <c r="P33" i="2" a="1"/>
  <c r="P33" i="2" s="1"/>
  <c r="C22" i="2"/>
  <c r="W22" i="2"/>
  <c r="F22" i="2"/>
  <c r="G81" i="2"/>
  <c r="U81" i="2"/>
  <c r="F77" i="2"/>
  <c r="R77" i="2" a="1"/>
  <c r="R77" i="2" s="1"/>
  <c r="G77" i="2"/>
  <c r="U77" i="2"/>
  <c r="F73" i="2"/>
  <c r="R73" i="2" a="1"/>
  <c r="R73" i="2" s="1"/>
  <c r="G73" i="2"/>
  <c r="U73" i="2"/>
  <c r="F69" i="2"/>
  <c r="R69" i="2" a="1"/>
  <c r="R69" i="2" s="1"/>
  <c r="G69" i="2"/>
  <c r="U69" i="2"/>
  <c r="D45" i="2"/>
  <c r="V45" i="2"/>
  <c r="F45" i="2"/>
  <c r="U40" i="2"/>
  <c r="C40" i="2"/>
  <c r="R40" i="2" s="1" a="1"/>
  <c r="R40" i="2" s="1"/>
  <c r="W40" i="2"/>
  <c r="V40" i="2"/>
  <c r="F40" i="2"/>
  <c r="Q40" i="2" a="1"/>
  <c r="Q40" i="2" s="1"/>
  <c r="U93" i="2"/>
  <c r="H93" i="2"/>
  <c r="Q77" i="2" a="1"/>
  <c r="Q77" i="2" s="1"/>
  <c r="Q73" i="2" a="1"/>
  <c r="Q73" i="2" s="1"/>
  <c r="Q69" i="2" a="1"/>
  <c r="Q69" i="2" s="1"/>
  <c r="P66" i="2" a="1"/>
  <c r="P66" i="2" s="1"/>
  <c r="F61" i="2"/>
  <c r="R61" i="2" a="1"/>
  <c r="R61" i="2" s="1"/>
  <c r="G61" i="2"/>
  <c r="H61" i="2"/>
  <c r="T61" i="2"/>
  <c r="U61" i="2"/>
  <c r="D50" i="2"/>
  <c r="E50" i="2" s="1"/>
  <c r="Q50" i="2" a="1"/>
  <c r="Q50" i="2" s="1"/>
  <c r="F50" i="2"/>
  <c r="T93" i="2"/>
  <c r="F93" i="2"/>
  <c r="E82" i="2"/>
  <c r="G82" i="2"/>
  <c r="P81" i="2" a="1"/>
  <c r="P81" i="2" s="1"/>
  <c r="F65" i="2"/>
  <c r="W50" i="2"/>
  <c r="C42" i="2"/>
  <c r="C30" i="2"/>
  <c r="W30" i="2"/>
  <c r="F30" i="2"/>
  <c r="V30" i="2"/>
  <c r="C76" i="2"/>
  <c r="W76" i="2"/>
  <c r="P73" i="2" a="1"/>
  <c r="P73" i="2" s="1"/>
  <c r="P69" i="2" a="1"/>
  <c r="P69" i="2" s="1"/>
  <c r="H68" i="2"/>
  <c r="U68" i="2"/>
  <c r="C68" i="2"/>
  <c r="W68" i="2"/>
  <c r="W66" i="2"/>
  <c r="Q61" i="2" a="1"/>
  <c r="Q61" i="2" s="1"/>
  <c r="D54" i="2"/>
  <c r="F54" i="2"/>
  <c r="V50" i="2"/>
  <c r="R33" i="2" a="1"/>
  <c r="R33" i="2" s="1"/>
  <c r="W25" i="2"/>
  <c r="V22" i="2"/>
  <c r="D94" i="2"/>
  <c r="D93" i="2"/>
  <c r="E93" i="2" s="1"/>
  <c r="C87" i="2"/>
  <c r="W87" i="2"/>
  <c r="U84" i="2"/>
  <c r="W82" i="2"/>
  <c r="P82" i="2" a="1"/>
  <c r="P82" i="2" s="1"/>
  <c r="V81" i="2"/>
  <c r="F81" i="2"/>
  <c r="H77" i="2"/>
  <c r="D74" i="2"/>
  <c r="Q74" i="2" s="1" a="1"/>
  <c r="Q74" i="2" s="1"/>
  <c r="H73" i="2"/>
  <c r="D70" i="2"/>
  <c r="G70" i="2" s="1"/>
  <c r="Q70" i="2" a="1"/>
  <c r="Q70" i="2" s="1"/>
  <c r="E70" i="2"/>
  <c r="H69" i="2"/>
  <c r="V66" i="2"/>
  <c r="F66" i="2"/>
  <c r="W54" i="2"/>
  <c r="C47" i="2"/>
  <c r="V47" i="2"/>
  <c r="W47" i="2"/>
  <c r="T40" i="2"/>
  <c r="W28" i="2"/>
  <c r="D48" i="2"/>
  <c r="E48" i="2" s="1"/>
  <c r="E37" i="2"/>
  <c r="G37" i="2"/>
  <c r="U37" i="2"/>
  <c r="U32" i="2"/>
  <c r="C32" i="2"/>
  <c r="G32" i="2" s="1"/>
  <c r="W32" i="2"/>
  <c r="V29" i="2"/>
  <c r="D29" i="2"/>
  <c r="Q29" i="2" s="1" a="1"/>
  <c r="Q29" i="2" s="1"/>
  <c r="C27" i="2"/>
  <c r="W27" i="2"/>
  <c r="V24" i="2"/>
  <c r="E79" i="2"/>
  <c r="E75" i="2"/>
  <c r="E71" i="2"/>
  <c r="W64" i="2"/>
  <c r="C64" i="2"/>
  <c r="W60" i="2"/>
  <c r="C60" i="2"/>
  <c r="W56" i="2"/>
  <c r="C56" i="2"/>
  <c r="W52" i="2"/>
  <c r="C52" i="2"/>
  <c r="U49" i="2"/>
  <c r="W48" i="2"/>
  <c r="C48" i="2"/>
  <c r="U48" i="2" s="1"/>
  <c r="U46" i="2"/>
  <c r="C44" i="2"/>
  <c r="Q44" i="2" s="1" a="1"/>
  <c r="Q44" i="2" s="1"/>
  <c r="W44" i="2"/>
  <c r="V41" i="2"/>
  <c r="C39" i="2"/>
  <c r="E39" i="2" s="1"/>
  <c r="W39" i="2"/>
  <c r="Q37" i="2" a="1"/>
  <c r="Q37" i="2" s="1"/>
  <c r="V36" i="2"/>
  <c r="C34" i="2"/>
  <c r="T34" i="2" s="1"/>
  <c r="W34" i="2"/>
  <c r="E34" i="2"/>
  <c r="G34" i="2"/>
  <c r="V31" i="2"/>
  <c r="T29" i="2"/>
  <c r="T24" i="2"/>
  <c r="H49" i="2"/>
  <c r="C46" i="2"/>
  <c r="G46" i="2" s="1"/>
  <c r="W46" i="2"/>
  <c r="E46" i="2"/>
  <c r="E29" i="2"/>
  <c r="G29" i="2"/>
  <c r="U29" i="2"/>
  <c r="C24" i="2"/>
  <c r="U24" i="2" s="1"/>
  <c r="W24" i="2"/>
  <c r="U20" i="2"/>
  <c r="C20" i="2"/>
  <c r="W20" i="2"/>
  <c r="D20" i="2"/>
  <c r="E20" i="2" s="1"/>
  <c r="C18" i="2"/>
  <c r="G18" i="2" s="1"/>
  <c r="W18" i="2"/>
  <c r="D18" i="2"/>
  <c r="W79" i="2"/>
  <c r="W75" i="2"/>
  <c r="W71" i="2"/>
  <c r="U64" i="2"/>
  <c r="U60" i="2"/>
  <c r="U56" i="2"/>
  <c r="U52" i="2"/>
  <c r="G49" i="2"/>
  <c r="R46" i="2" a="1"/>
  <c r="R46" i="2" s="1"/>
  <c r="E41" i="2"/>
  <c r="G41" i="2"/>
  <c r="U41" i="2"/>
  <c r="P37" i="2" a="1"/>
  <c r="P37" i="2" s="1"/>
  <c r="G36" i="2"/>
  <c r="U36" i="2"/>
  <c r="C36" i="2"/>
  <c r="W36" i="2"/>
  <c r="Q34" i="2" a="1"/>
  <c r="Q34" i="2" s="1"/>
  <c r="P32" i="2" a="1"/>
  <c r="P32" i="2" s="1"/>
  <c r="U31" i="2"/>
  <c r="C31" i="2"/>
  <c r="W31" i="2"/>
  <c r="E31" i="2"/>
  <c r="C26" i="2"/>
  <c r="W26" i="2"/>
  <c r="E26" i="2"/>
  <c r="T20" i="2"/>
  <c r="T64" i="2"/>
  <c r="T56" i="2"/>
  <c r="T52" i="2"/>
  <c r="R49" i="2" a="1"/>
  <c r="R49" i="2" s="1"/>
  <c r="T48" i="2"/>
  <c r="Q46" i="2" a="1"/>
  <c r="Q46" i="2" s="1"/>
  <c r="U43" i="2"/>
  <c r="C43" i="2"/>
  <c r="W43" i="2"/>
  <c r="E43" i="2"/>
  <c r="Q41" i="2" a="1"/>
  <c r="Q41" i="2" s="1"/>
  <c r="P39" i="2" a="1"/>
  <c r="P39" i="2" s="1"/>
  <c r="C38" i="2"/>
  <c r="E38" i="2" s="1"/>
  <c r="W38" i="2"/>
  <c r="H37" i="2"/>
  <c r="P34" i="2" a="1"/>
  <c r="P34" i="2" s="1"/>
  <c r="H32" i="2"/>
  <c r="R31" i="2" a="1"/>
  <c r="R31" i="2" s="1"/>
  <c r="Q24" i="2" a="1"/>
  <c r="Q24" i="2" s="1"/>
  <c r="C23" i="2"/>
  <c r="W23" i="2"/>
  <c r="F23" i="2"/>
  <c r="R20" i="2" a="1"/>
  <c r="R20" i="2" s="1"/>
  <c r="V18" i="2"/>
  <c r="R19" i="2" a="1"/>
  <c r="R19" i="2" s="1"/>
  <c r="F19" i="2"/>
  <c r="D16" i="2"/>
  <c r="F15" i="2"/>
  <c r="D12" i="2"/>
  <c r="F11" i="2"/>
  <c r="U21" i="2"/>
  <c r="E19" i="2"/>
  <c r="W16" i="2"/>
  <c r="C16" i="2"/>
  <c r="W12" i="2"/>
  <c r="C12" i="2"/>
  <c r="Q12" i="2" s="1" a="1"/>
  <c r="Q12" i="2" s="1"/>
  <c r="D11" i="2"/>
  <c r="F10" i="2"/>
  <c r="W19" i="2"/>
  <c r="C19" i="2"/>
  <c r="U19" i="2" s="1"/>
  <c r="W15" i="2"/>
  <c r="C15" i="2"/>
  <c r="P15" i="2" s="1" a="1"/>
  <c r="P15" i="2" s="1"/>
  <c r="W11" i="2"/>
  <c r="C11" i="2"/>
  <c r="D14" i="2"/>
  <c r="D10" i="2"/>
  <c r="W10" i="2"/>
  <c r="V98" i="2" l="1"/>
  <c r="Y98" i="2"/>
  <c r="Y84" i="2"/>
  <c r="S47" i="2"/>
  <c r="U141" i="2"/>
  <c r="K141" i="2"/>
  <c r="X98" i="2"/>
  <c r="X84" i="2"/>
  <c r="X47" i="2"/>
  <c r="Z47" i="2"/>
  <c r="V141" i="2"/>
  <c r="L81" i="2"/>
  <c r="Z155" i="2"/>
  <c r="S84" i="2"/>
  <c r="Y47" i="2"/>
  <c r="K81" i="2"/>
  <c r="S10" i="2"/>
  <c r="Y155" i="2"/>
  <c r="Z84" i="2"/>
  <c r="X155" i="2"/>
  <c r="Z13" i="2"/>
  <c r="Z70" i="2"/>
  <c r="S198" i="2"/>
  <c r="D81" i="2"/>
  <c r="E81" i="2" s="1"/>
  <c r="L198" i="2"/>
  <c r="Y81" i="2"/>
  <c r="Z27" i="2"/>
  <c r="S155" i="2"/>
  <c r="Y13" i="2"/>
  <c r="Y70" i="2"/>
  <c r="F198" i="2"/>
  <c r="W84" i="2"/>
  <c r="L70" i="2"/>
  <c r="J198" i="2"/>
  <c r="Z198" i="2"/>
  <c r="S81" i="2"/>
  <c r="Y27" i="2"/>
  <c r="S13" i="2"/>
  <c r="X70" i="2"/>
  <c r="C198" i="2"/>
  <c r="X81" i="2"/>
  <c r="X27" i="2"/>
  <c r="S70" i="2"/>
  <c r="J70" i="2"/>
  <c r="L47" i="2"/>
  <c r="K155" i="2"/>
  <c r="Z175" i="2"/>
  <c r="F70" i="2"/>
  <c r="V198" i="2"/>
  <c r="K47" i="2"/>
  <c r="J141" i="2"/>
  <c r="C141" i="2"/>
  <c r="J155" i="2"/>
  <c r="Z141" i="2"/>
  <c r="L141" i="2"/>
  <c r="D155" i="2"/>
  <c r="C70" i="2"/>
  <c r="Z10" i="2"/>
  <c r="Y141" i="2"/>
  <c r="Q141" i="2" a="1"/>
  <c r="Q141" i="2" s="1"/>
  <c r="D141" i="2"/>
  <c r="X175" i="2"/>
  <c r="Y10" i="2"/>
  <c r="S141" i="2"/>
  <c r="K198" i="2"/>
  <c r="K98" i="2"/>
  <c r="L84" i="2"/>
  <c r="J98" i="2"/>
  <c r="K175" i="2"/>
  <c r="C175" i="2"/>
  <c r="X198" i="2"/>
  <c r="E147" i="2"/>
  <c r="J23" i="2"/>
  <c r="K32" i="2"/>
  <c r="W140" i="2"/>
  <c r="K124" i="2"/>
  <c r="J16" i="2"/>
  <c r="J117" i="2"/>
  <c r="L105" i="2"/>
  <c r="L133" i="2"/>
  <c r="Y201" i="2"/>
  <c r="X40" i="2"/>
  <c r="X105" i="2"/>
  <c r="Y58" i="2"/>
  <c r="Z147" i="2"/>
  <c r="S140" i="2"/>
  <c r="S126" i="2"/>
  <c r="X185" i="2"/>
  <c r="U185" i="2"/>
  <c r="J105" i="2"/>
  <c r="L44" i="2"/>
  <c r="D117" i="2"/>
  <c r="D105" i="2"/>
  <c r="D39" i="2"/>
  <c r="V185" i="2"/>
  <c r="Z138" i="2"/>
  <c r="Y124" i="2"/>
  <c r="X147" i="2"/>
  <c r="Z30" i="2"/>
  <c r="Z110" i="2"/>
  <c r="Z39" i="2"/>
  <c r="Z185" i="2"/>
  <c r="Y138" i="2"/>
  <c r="X135" i="2"/>
  <c r="S147" i="2"/>
  <c r="Y30" i="2"/>
  <c r="Y110" i="2"/>
  <c r="Y39" i="2"/>
  <c r="W131" i="2"/>
  <c r="G185" i="2"/>
  <c r="V117" i="2"/>
  <c r="C135" i="2"/>
  <c r="F39" i="2"/>
  <c r="L126" i="2"/>
  <c r="K140" i="2"/>
  <c r="J44" i="2"/>
  <c r="K39" i="2"/>
  <c r="L131" i="2"/>
  <c r="N140" i="2"/>
  <c r="V39" i="2"/>
  <c r="S138" i="2"/>
  <c r="Z117" i="2"/>
  <c r="Z51" i="2"/>
  <c r="Z131" i="2"/>
  <c r="X44" i="2"/>
  <c r="X30" i="2"/>
  <c r="X110" i="2"/>
  <c r="Y140" i="2"/>
  <c r="T185" i="2"/>
  <c r="K147" i="2"/>
  <c r="J126" i="2"/>
  <c r="J37" i="2"/>
  <c r="J21" i="2"/>
  <c r="J140" i="2"/>
  <c r="D140" i="2"/>
  <c r="S32" i="2"/>
  <c r="Y117" i="2"/>
  <c r="Y51" i="2"/>
  <c r="Y131" i="2"/>
  <c r="S44" i="2"/>
  <c r="S30" i="2"/>
  <c r="S110" i="2"/>
  <c r="S16" i="2"/>
  <c r="D110" i="2"/>
  <c r="W124" i="2"/>
  <c r="Y185" i="2"/>
  <c r="Z32" i="2"/>
  <c r="S117" i="2"/>
  <c r="X51" i="2"/>
  <c r="X131" i="2"/>
  <c r="Z44" i="2"/>
  <c r="Z16" i="2"/>
  <c r="X201" i="2"/>
  <c r="D131" i="2"/>
  <c r="D185" i="2"/>
  <c r="H185" i="2" s="1"/>
  <c r="I140" i="2"/>
  <c r="F37" i="2"/>
  <c r="J58" i="2"/>
  <c r="K40" i="2"/>
  <c r="L110" i="2"/>
  <c r="F124" i="2"/>
  <c r="Y32" i="2"/>
  <c r="Z37" i="2"/>
  <c r="Z133" i="2"/>
  <c r="S131" i="2"/>
  <c r="Z126" i="2"/>
  <c r="X124" i="2"/>
  <c r="Y16" i="2"/>
  <c r="S23" i="2"/>
  <c r="S135" i="2"/>
  <c r="V140" i="2"/>
  <c r="J32" i="2"/>
  <c r="L30" i="2"/>
  <c r="L135" i="2"/>
  <c r="V58" i="2"/>
  <c r="D40" i="2"/>
  <c r="J110" i="2"/>
  <c r="C201" i="2"/>
  <c r="I201" i="2" s="1"/>
  <c r="V110" i="2"/>
  <c r="C140" i="2"/>
  <c r="O140" i="2" s="1"/>
  <c r="F140" i="2"/>
  <c r="F105" i="2"/>
  <c r="C131" i="2"/>
  <c r="Y37" i="2"/>
  <c r="Z154" i="2"/>
  <c r="Y133" i="2"/>
  <c r="S124" i="2"/>
  <c r="X16" i="2"/>
  <c r="Z23" i="2"/>
  <c r="Z135" i="2"/>
  <c r="D23" i="2"/>
  <c r="P140" i="2" a="1"/>
  <c r="P140" i="2" s="1"/>
  <c r="R140" i="2" a="1"/>
  <c r="R140" i="2" s="1"/>
  <c r="V23" i="2"/>
  <c r="C147" i="2"/>
  <c r="N147" i="2" s="1"/>
  <c r="L185" i="2"/>
  <c r="K30" i="2"/>
  <c r="K135" i="2"/>
  <c r="L201" i="2"/>
  <c r="M140" i="2"/>
  <c r="W201" i="2"/>
  <c r="S40" i="2"/>
  <c r="Z201" i="2"/>
  <c r="S37" i="2"/>
  <c r="S154" i="2"/>
  <c r="Y154" i="2"/>
  <c r="S133" i="2"/>
  <c r="Y23" i="2"/>
  <c r="Y135" i="2"/>
  <c r="L23" i="2"/>
  <c r="K154" i="2"/>
  <c r="K185" i="2"/>
  <c r="K201" i="2"/>
  <c r="Y105" i="2"/>
  <c r="J163" i="2"/>
  <c r="L170" i="2"/>
  <c r="X35" i="2"/>
  <c r="C99" i="2"/>
  <c r="J85" i="2"/>
  <c r="X78" i="2"/>
  <c r="D119" i="2"/>
  <c r="X163" i="2"/>
  <c r="K72" i="2"/>
  <c r="J183" i="2"/>
  <c r="Z72" i="2"/>
  <c r="D99" i="2"/>
  <c r="E99" i="2" s="1"/>
  <c r="Y153" i="2"/>
  <c r="Y156" i="2"/>
  <c r="X99" i="2"/>
  <c r="V99" i="2"/>
  <c r="L119" i="2"/>
  <c r="K21" i="2"/>
  <c r="Z21" i="2"/>
  <c r="C28" i="2"/>
  <c r="G78" i="2"/>
  <c r="F25" i="2"/>
  <c r="U99" i="2"/>
  <c r="D89" i="2"/>
  <c r="F144" i="2"/>
  <c r="C142" i="2"/>
  <c r="Q142" i="2" s="1" a="1"/>
  <c r="Q142" i="2" s="1"/>
  <c r="R163" i="2" a="1"/>
  <c r="R163" i="2" s="1"/>
  <c r="U170" i="2"/>
  <c r="G149" i="2"/>
  <c r="D153" i="2"/>
  <c r="G106" i="2"/>
  <c r="U163" i="2"/>
  <c r="U119" i="2"/>
  <c r="D55" i="2"/>
  <c r="C183" i="2"/>
  <c r="W144" i="2"/>
  <c r="F156" i="2"/>
  <c r="C163" i="2"/>
  <c r="J72" i="2"/>
  <c r="I156" i="2"/>
  <c r="L35" i="2"/>
  <c r="K119" i="2"/>
  <c r="J149" i="2"/>
  <c r="J25" i="2"/>
  <c r="D72" i="2"/>
  <c r="L21" i="2"/>
  <c r="L85" i="2"/>
  <c r="W99" i="2"/>
  <c r="Y72" i="2"/>
  <c r="X183" i="2"/>
  <c r="Y25" i="2"/>
  <c r="Y89" i="2"/>
  <c r="S35" i="2"/>
  <c r="S99" i="2"/>
  <c r="S163" i="2"/>
  <c r="S78" i="2"/>
  <c r="Y21" i="2"/>
  <c r="F14" i="2"/>
  <c r="U28" i="2"/>
  <c r="E78" i="2"/>
  <c r="D25" i="2"/>
  <c r="E25" i="2" s="1"/>
  <c r="W89" i="2"/>
  <c r="P144" i="2" a="1"/>
  <c r="P144" i="2" s="1"/>
  <c r="G170" i="2"/>
  <c r="R149" i="2" a="1"/>
  <c r="R149" i="2" s="1"/>
  <c r="F106" i="2"/>
  <c r="R85" i="2" a="1"/>
  <c r="R85" i="2" s="1"/>
  <c r="C55" i="2"/>
  <c r="W183" i="2"/>
  <c r="F72" i="2"/>
  <c r="V170" i="2"/>
  <c r="K35" i="2"/>
  <c r="J119" i="2"/>
  <c r="L149" i="2"/>
  <c r="C25" i="2"/>
  <c r="L153" i="2"/>
  <c r="D85" i="2"/>
  <c r="X72" i="2"/>
  <c r="Z153" i="2"/>
  <c r="S25" i="2"/>
  <c r="S89" i="2"/>
  <c r="X156" i="2"/>
  <c r="Y170" i="2"/>
  <c r="Z149" i="2"/>
  <c r="S156" i="2"/>
  <c r="S21" i="2"/>
  <c r="S55" i="2"/>
  <c r="S119" i="2"/>
  <c r="F89" i="2"/>
  <c r="P156" i="2" a="1"/>
  <c r="P156" i="2" s="1"/>
  <c r="T170" i="2"/>
  <c r="U183" i="2"/>
  <c r="U156" i="2"/>
  <c r="F149" i="2"/>
  <c r="W106" i="2"/>
  <c r="V72" i="2"/>
  <c r="V55" i="2"/>
  <c r="F183" i="2"/>
  <c r="T85" i="2"/>
  <c r="G183" i="2"/>
  <c r="C85" i="2"/>
  <c r="O85" i="2" s="1"/>
  <c r="W163" i="2"/>
  <c r="V14" i="2"/>
  <c r="E85" i="2"/>
  <c r="K106" i="2"/>
  <c r="J35" i="2"/>
  <c r="C149" i="2"/>
  <c r="V156" i="2"/>
  <c r="L89" i="2"/>
  <c r="K99" i="2"/>
  <c r="L163" i="2"/>
  <c r="V163" i="2"/>
  <c r="K55" i="2"/>
  <c r="S144" i="2"/>
  <c r="Z14" i="2"/>
  <c r="X25" i="2"/>
  <c r="X89" i="2"/>
  <c r="Y149" i="2"/>
  <c r="Z156" i="2"/>
  <c r="X21" i="2"/>
  <c r="Z55" i="2"/>
  <c r="Z119" i="2"/>
  <c r="D78" i="2"/>
  <c r="Q78" i="2" s="1" a="1"/>
  <c r="Q78" i="2" s="1"/>
  <c r="F28" i="2"/>
  <c r="V35" i="2"/>
  <c r="R89" i="2" a="1"/>
  <c r="R89" i="2" s="1"/>
  <c r="G156" i="2"/>
  <c r="E149" i="2"/>
  <c r="R106" i="2" a="1"/>
  <c r="R106" i="2" s="1"/>
  <c r="C106" i="2"/>
  <c r="T106" i="2" s="1"/>
  <c r="D144" i="2"/>
  <c r="P21" i="2" a="1"/>
  <c r="P21" i="2" s="1"/>
  <c r="U55" i="2"/>
  <c r="P85" i="2" a="1"/>
  <c r="P85" i="2" s="1"/>
  <c r="V142" i="2"/>
  <c r="W78" i="2"/>
  <c r="D170" i="2"/>
  <c r="H183" i="2"/>
  <c r="C92" i="2"/>
  <c r="U85" i="2"/>
  <c r="R21" i="2" a="1"/>
  <c r="R21" i="2" s="1"/>
  <c r="W92" i="2"/>
  <c r="Q85" i="2" a="1"/>
  <c r="Q85" i="2" s="1"/>
  <c r="J106" i="2"/>
  <c r="D156" i="2"/>
  <c r="J42" i="2"/>
  <c r="L14" i="2"/>
  <c r="K89" i="2"/>
  <c r="K170" i="2"/>
  <c r="J99" i="2"/>
  <c r="L156" i="2"/>
  <c r="L142" i="2"/>
  <c r="K85" i="2"/>
  <c r="Z144" i="2"/>
  <c r="Y14" i="2"/>
  <c r="X55" i="2"/>
  <c r="S149" i="2"/>
  <c r="Y142" i="2"/>
  <c r="Z85" i="2"/>
  <c r="Y55" i="2"/>
  <c r="Y119" i="2"/>
  <c r="H28" i="2"/>
  <c r="V28" i="2"/>
  <c r="W72" i="2"/>
  <c r="F35" i="2"/>
  <c r="Q89" i="2" a="1"/>
  <c r="Q89" i="2" s="1"/>
  <c r="F163" i="2"/>
  <c r="F153" i="2"/>
  <c r="U144" i="2"/>
  <c r="W170" i="2"/>
  <c r="D106" i="2"/>
  <c r="U106" i="2"/>
  <c r="V144" i="2"/>
  <c r="Q21" i="2" a="1"/>
  <c r="Q21" i="2" s="1"/>
  <c r="C21" i="2"/>
  <c r="H55" i="2"/>
  <c r="V85" i="2"/>
  <c r="F119" i="2"/>
  <c r="V92" i="2"/>
  <c r="L92" i="2"/>
  <c r="L144" i="2"/>
  <c r="K14" i="2"/>
  <c r="J89" i="2"/>
  <c r="J170" i="2"/>
  <c r="K156" i="2"/>
  <c r="W21" i="2"/>
  <c r="J142" i="2"/>
  <c r="Y144" i="2"/>
  <c r="K149" i="2"/>
  <c r="X14" i="2"/>
  <c r="Z42" i="2"/>
  <c r="Z106" i="2"/>
  <c r="X149" i="2"/>
  <c r="X28" i="2"/>
  <c r="X92" i="2"/>
  <c r="X142" i="2"/>
  <c r="Y85" i="2"/>
  <c r="D92" i="2"/>
  <c r="U92" i="2" s="1"/>
  <c r="Q35" i="2" a="1"/>
  <c r="Q35" i="2" s="1"/>
  <c r="W14" i="2"/>
  <c r="E28" i="2"/>
  <c r="C72" i="2"/>
  <c r="T72" i="2" s="1"/>
  <c r="F92" i="2"/>
  <c r="W35" i="2"/>
  <c r="C89" i="2"/>
  <c r="P89" i="2" s="1" a="1"/>
  <c r="P89" i="2" s="1"/>
  <c r="P149" i="2" a="1"/>
  <c r="P149" i="2" s="1"/>
  <c r="D163" i="2"/>
  <c r="Q163" i="2" s="1" a="1"/>
  <c r="Q163" i="2" s="1"/>
  <c r="G144" i="2"/>
  <c r="R144" i="2" a="1"/>
  <c r="R144" i="2" s="1"/>
  <c r="C170" i="2"/>
  <c r="E170" i="2" s="1"/>
  <c r="Q106" i="2" a="1"/>
  <c r="Q106" i="2" s="1"/>
  <c r="V25" i="2"/>
  <c r="T21" i="2"/>
  <c r="G55" i="2"/>
  <c r="F85" i="2"/>
  <c r="W156" i="2"/>
  <c r="W85" i="2"/>
  <c r="R119" i="2" a="1"/>
  <c r="R119" i="2" s="1"/>
  <c r="G119" i="2"/>
  <c r="D35" i="2"/>
  <c r="C156" i="2"/>
  <c r="K92" i="2"/>
  <c r="K144" i="2"/>
  <c r="L183" i="2"/>
  <c r="J14" i="2"/>
  <c r="F142" i="2"/>
  <c r="D183" i="2"/>
  <c r="F21" i="2"/>
  <c r="X144" i="2"/>
  <c r="S14" i="2"/>
  <c r="S153" i="2"/>
  <c r="Y42" i="2"/>
  <c r="Y106" i="2"/>
  <c r="Z35" i="2"/>
  <c r="Z99" i="2"/>
  <c r="Z163" i="2"/>
  <c r="S170" i="2"/>
  <c r="Z170" i="2"/>
  <c r="S28" i="2"/>
  <c r="S92" i="2"/>
  <c r="Z78" i="2"/>
  <c r="S142" i="2"/>
  <c r="S85" i="2"/>
  <c r="G21" i="2"/>
  <c r="D28" i="2"/>
  <c r="P28" i="2" s="1" a="1"/>
  <c r="P28" i="2" s="1"/>
  <c r="Q25" i="2" a="1"/>
  <c r="Q25" i="2" s="1"/>
  <c r="H72" i="2"/>
  <c r="W42" i="2"/>
  <c r="C35" i="2"/>
  <c r="T35" i="2" s="1"/>
  <c r="V89" i="2"/>
  <c r="E106" i="2"/>
  <c r="T183" i="2"/>
  <c r="D142" i="2"/>
  <c r="E142" i="2" s="1"/>
  <c r="D149" i="2"/>
  <c r="T149" i="2" s="1"/>
  <c r="P106" i="2" a="1"/>
  <c r="P106" i="2" s="1"/>
  <c r="P99" i="2" a="1"/>
  <c r="P99" i="2" s="1"/>
  <c r="E55" i="2"/>
  <c r="G85" i="2"/>
  <c r="V119" i="2"/>
  <c r="C119" i="2"/>
  <c r="P119" i="2" s="1" a="1"/>
  <c r="P119" i="2" s="1"/>
  <c r="C78" i="2"/>
  <c r="F99" i="2"/>
  <c r="T119" i="2"/>
  <c r="V183" i="2"/>
  <c r="K163" i="2"/>
  <c r="J92" i="2"/>
  <c r="L25" i="2"/>
  <c r="L72" i="2"/>
  <c r="K183" i="2"/>
  <c r="K142" i="2"/>
  <c r="Y183" i="2"/>
  <c r="X42" i="2"/>
  <c r="X106" i="2"/>
  <c r="Z183" i="2"/>
  <c r="Z28" i="2"/>
  <c r="Z92" i="2"/>
  <c r="U17" i="2"/>
  <c r="U15" i="2"/>
  <c r="G17" i="2"/>
  <c r="H17" i="2"/>
  <c r="H14" i="2"/>
  <c r="R27" i="2" a="1"/>
  <c r="R27" i="2" s="1"/>
  <c r="H42" i="2"/>
  <c r="E54" i="2"/>
  <c r="P30" i="2" a="1"/>
  <c r="P30" i="2" s="1"/>
  <c r="U44" i="2"/>
  <c r="U27" i="2"/>
  <c r="H47" i="2"/>
  <c r="H40" i="2"/>
  <c r="E16" i="2"/>
  <c r="G23" i="2"/>
  <c r="Q23" i="2" a="1"/>
  <c r="Q23" i="2" s="1"/>
  <c r="U12" i="2"/>
  <c r="U23" i="2"/>
  <c r="G38" i="2"/>
  <c r="T26" i="2"/>
  <c r="P26" i="2" a="1"/>
  <c r="P26" i="2" s="1"/>
  <c r="E18" i="2"/>
  <c r="H20" i="2"/>
  <c r="P20" i="2" a="1"/>
  <c r="P20" i="2" s="1"/>
  <c r="U39" i="2"/>
  <c r="Q60" i="2" a="1"/>
  <c r="Q60" i="2" s="1"/>
  <c r="P60" i="2" a="1"/>
  <c r="P60" i="2" s="1"/>
  <c r="G28" i="2"/>
  <c r="U25" i="2"/>
  <c r="M68" i="2"/>
  <c r="R68" i="2" a="1"/>
  <c r="R68" i="2" s="1"/>
  <c r="E68" i="2"/>
  <c r="G68" i="2"/>
  <c r="P68" i="2" a="1"/>
  <c r="P68" i="2" s="1"/>
  <c r="Q68" i="2" a="1"/>
  <c r="Q68" i="2" s="1"/>
  <c r="G50" i="2"/>
  <c r="R66" i="2" a="1"/>
  <c r="R66" i="2" s="1"/>
  <c r="T66" i="2"/>
  <c r="U66" i="2"/>
  <c r="H66" i="2"/>
  <c r="U62" i="2"/>
  <c r="U95" i="2"/>
  <c r="R113" i="2" a="1"/>
  <c r="R113" i="2" s="1"/>
  <c r="G113" i="2"/>
  <c r="P113" i="2" a="1"/>
  <c r="P113" i="2" s="1"/>
  <c r="G89" i="2"/>
  <c r="R121" i="2" a="1"/>
  <c r="R121" i="2" s="1"/>
  <c r="E136" i="2"/>
  <c r="R130" i="2" a="1"/>
  <c r="R130" i="2" s="1"/>
  <c r="P157" i="2" a="1"/>
  <c r="P157" i="2" s="1"/>
  <c r="R157" i="2" a="1"/>
  <c r="R157" i="2" s="1"/>
  <c r="T157" i="2"/>
  <c r="H134" i="2"/>
  <c r="Q134" i="2" a="1"/>
  <c r="Q134" i="2" s="1"/>
  <c r="R155" i="2" a="1"/>
  <c r="R155" i="2" s="1"/>
  <c r="U155" i="2"/>
  <c r="G155" i="2"/>
  <c r="Q18" i="2" a="1"/>
  <c r="Q18" i="2" s="1"/>
  <c r="R74" i="2" a="1"/>
  <c r="R74" i="2" s="1"/>
  <c r="T74" i="2"/>
  <c r="E74" i="2"/>
  <c r="G118" i="2"/>
  <c r="E171" i="2"/>
  <c r="U171" i="2"/>
  <c r="I171" i="2"/>
  <c r="R171" i="2" a="1"/>
  <c r="R171" i="2" s="1"/>
  <c r="P171" i="2" a="1"/>
  <c r="P171" i="2" s="1"/>
  <c r="P27" i="2" a="1"/>
  <c r="P27" i="2" s="1"/>
  <c r="G25" i="2"/>
  <c r="E40" i="2"/>
  <c r="E80" i="2"/>
  <c r="R14" i="2" a="1"/>
  <c r="R14" i="2" s="1"/>
  <c r="R26" i="2" a="1"/>
  <c r="R26" i="2" s="1"/>
  <c r="P44" i="2" a="1"/>
  <c r="P44" i="2" s="1"/>
  <c r="T60" i="2"/>
  <c r="P36" i="2" a="1"/>
  <c r="P36" i="2" s="1"/>
  <c r="T36" i="2"/>
  <c r="R36" i="2" a="1"/>
  <c r="R36" i="2" s="1"/>
  <c r="H36" i="2"/>
  <c r="G20" i="2"/>
  <c r="R52" i="2" a="1"/>
  <c r="R52" i="2" s="1"/>
  <c r="G52" i="2"/>
  <c r="Q33" i="2" a="1"/>
  <c r="Q33" i="2" s="1"/>
  <c r="G47" i="2"/>
  <c r="T68" i="2"/>
  <c r="E35" i="2"/>
  <c r="T22" i="2"/>
  <c r="T95" i="2"/>
  <c r="T89" i="2"/>
  <c r="T118" i="2"/>
  <c r="E121" i="2"/>
  <c r="E130" i="2"/>
  <c r="I91" i="2"/>
  <c r="G91" i="2"/>
  <c r="P91" i="2" a="1"/>
  <c r="P91" i="2" s="1"/>
  <c r="E91" i="2"/>
  <c r="Q91" i="2" a="1"/>
  <c r="Q91" i="2" s="1"/>
  <c r="E122" i="2"/>
  <c r="R122" i="2" a="1"/>
  <c r="R122" i="2" s="1"/>
  <c r="G122" i="2"/>
  <c r="E64" i="2"/>
  <c r="T25" i="2"/>
  <c r="R25" i="2" a="1"/>
  <c r="R25" i="2" s="1"/>
  <c r="U98" i="2"/>
  <c r="P117" i="2" a="1"/>
  <c r="P117" i="2" s="1"/>
  <c r="R117" i="2" a="1"/>
  <c r="R117" i="2" s="1"/>
  <c r="R158" i="2" a="1"/>
  <c r="R158" i="2" s="1"/>
  <c r="E158" i="2"/>
  <c r="Q158" i="2" a="1"/>
  <c r="Q158" i="2" s="1"/>
  <c r="T158" i="2"/>
  <c r="H158" i="2"/>
  <c r="Q130" i="2" a="1"/>
  <c r="Q130" i="2" s="1"/>
  <c r="T142" i="2"/>
  <c r="R142" i="2" a="1"/>
  <c r="R142" i="2" s="1"/>
  <c r="P142" i="2" a="1"/>
  <c r="P142" i="2" s="1"/>
  <c r="P83" i="2" a="1"/>
  <c r="P83" i="2" s="1"/>
  <c r="Q83" i="2" a="1"/>
  <c r="Q83" i="2" s="1"/>
  <c r="R83" i="2" a="1"/>
  <c r="R83" i="2" s="1"/>
  <c r="H83" i="2"/>
  <c r="E144" i="2"/>
  <c r="H144" i="2"/>
  <c r="T144" i="2"/>
  <c r="Q144" i="2" a="1"/>
  <c r="Q144" i="2" s="1"/>
  <c r="P38" i="2" a="1"/>
  <c r="P38" i="2" s="1"/>
  <c r="Q38" i="2" a="1"/>
  <c r="Q38" i="2" s="1"/>
  <c r="U38" i="2"/>
  <c r="P76" i="2" a="1"/>
  <c r="P76" i="2" s="1"/>
  <c r="R76" i="2" a="1"/>
  <c r="R76" i="2" s="1"/>
  <c r="U76" i="2"/>
  <c r="P50" i="2" a="1"/>
  <c r="P50" i="2" s="1"/>
  <c r="R50" i="2" a="1"/>
  <c r="R50" i="2" s="1"/>
  <c r="Q118" i="2" a="1"/>
  <c r="Q118" i="2" s="1"/>
  <c r="R118" i="2" a="1"/>
  <c r="R118" i="2" s="1"/>
  <c r="U118" i="2"/>
  <c r="Q14" i="2" a="1"/>
  <c r="Q14" i="2" s="1"/>
  <c r="E15" i="2"/>
  <c r="E23" i="2"/>
  <c r="G26" i="2"/>
  <c r="Q31" i="2" a="1"/>
  <c r="Q31" i="2" s="1"/>
  <c r="P31" i="2" a="1"/>
  <c r="P31" i="2" s="1"/>
  <c r="H31" i="2"/>
  <c r="T18" i="2"/>
  <c r="Q20" i="2" a="1"/>
  <c r="Q20" i="2" s="1"/>
  <c r="T46" i="2"/>
  <c r="H46" i="2"/>
  <c r="G44" i="2"/>
  <c r="P56" i="2" a="1"/>
  <c r="P56" i="2" s="1"/>
  <c r="E56" i="2"/>
  <c r="Q56" i="2" a="1"/>
  <c r="Q56" i="2" s="1"/>
  <c r="R29" i="2" a="1"/>
  <c r="R29" i="2" s="1"/>
  <c r="H29" i="2"/>
  <c r="P29" i="2" a="1"/>
  <c r="P29" i="2" s="1"/>
  <c r="T28" i="2"/>
  <c r="R47" i="2" a="1"/>
  <c r="R47" i="2" s="1"/>
  <c r="U50" i="2"/>
  <c r="H70" i="2"/>
  <c r="T70" i="2"/>
  <c r="H87" i="2"/>
  <c r="P87" i="2" a="1"/>
  <c r="P87" i="2" s="1"/>
  <c r="T87" i="2"/>
  <c r="G87" i="2"/>
  <c r="U87" i="2"/>
  <c r="H25" i="2"/>
  <c r="T76" i="2"/>
  <c r="N42" i="2"/>
  <c r="T42" i="2"/>
  <c r="G42" i="2"/>
  <c r="P35" i="2" a="1"/>
  <c r="P35" i="2" s="1"/>
  <c r="U35" i="2"/>
  <c r="P40" i="2" a="1"/>
  <c r="P40" i="2" s="1"/>
  <c r="G40" i="2"/>
  <c r="G66" i="2"/>
  <c r="P98" i="2" a="1"/>
  <c r="P98" i="2" s="1"/>
  <c r="P105" i="2" a="1"/>
  <c r="P105" i="2" s="1"/>
  <c r="R105" i="2" a="1"/>
  <c r="R105" i="2" s="1"/>
  <c r="T105" i="2"/>
  <c r="H105" i="2"/>
  <c r="G105" i="2"/>
  <c r="U105" i="2"/>
  <c r="E105" i="2"/>
  <c r="G114" i="2"/>
  <c r="H114" i="2"/>
  <c r="U80" i="2"/>
  <c r="E89" i="2"/>
  <c r="T117" i="2"/>
  <c r="U121" i="2"/>
  <c r="Q125" i="2" a="1"/>
  <c r="Q125" i="2" s="1"/>
  <c r="U125" i="2"/>
  <c r="Q164" i="2" a="1"/>
  <c r="Q164" i="2" s="1"/>
  <c r="H164" i="2"/>
  <c r="R164" i="2" a="1"/>
  <c r="R164" i="2" s="1"/>
  <c r="T83" i="2"/>
  <c r="Q146" i="2" a="1"/>
  <c r="Q146" i="2" s="1"/>
  <c r="Q184" i="2" a="1"/>
  <c r="Q184" i="2" s="1"/>
  <c r="H184" i="2"/>
  <c r="P184" i="2" a="1"/>
  <c r="P184" i="2" s="1"/>
  <c r="E184" i="2"/>
  <c r="H151" i="2"/>
  <c r="R151" i="2" a="1"/>
  <c r="R151" i="2" s="1"/>
  <c r="Q47" i="2" a="1"/>
  <c r="Q47" i="2" s="1"/>
  <c r="T78" i="2"/>
  <c r="U78" i="2"/>
  <c r="P92" i="2" a="1"/>
  <c r="P92" i="2" s="1"/>
  <c r="E92" i="2"/>
  <c r="Q92" i="2" a="1"/>
  <c r="Q92" i="2" s="1"/>
  <c r="T92" i="2"/>
  <c r="G72" i="2"/>
  <c r="P72" i="2" a="1"/>
  <c r="P72" i="2" s="1"/>
  <c r="H76" i="2"/>
  <c r="G30" i="2"/>
  <c r="H35" i="2"/>
  <c r="T50" i="2"/>
  <c r="P95" i="2" a="1"/>
  <c r="P95" i="2" s="1"/>
  <c r="E95" i="2"/>
  <c r="P80" i="2" a="1"/>
  <c r="P80" i="2" s="1"/>
  <c r="T80" i="2"/>
  <c r="H117" i="2"/>
  <c r="T121" i="2"/>
  <c r="P154" i="2" a="1"/>
  <c r="P154" i="2" s="1"/>
  <c r="G154" i="2"/>
  <c r="R154" i="2" a="1"/>
  <c r="R154" i="2" s="1"/>
  <c r="E165" i="2"/>
  <c r="U165" i="2"/>
  <c r="P165" i="2" a="1"/>
  <c r="P165" i="2" s="1"/>
  <c r="G165" i="2"/>
  <c r="G83" i="2"/>
  <c r="P118" i="2" a="1"/>
  <c r="P118" i="2" s="1"/>
  <c r="E188" i="2"/>
  <c r="Q188" i="2" a="1"/>
  <c r="Q188" i="2" s="1"/>
  <c r="H188" i="2"/>
  <c r="G19" i="2"/>
  <c r="H19" i="2"/>
  <c r="T19" i="2"/>
  <c r="Q19" i="2" a="1"/>
  <c r="Q19" i="2" s="1"/>
  <c r="P19" i="2" a="1"/>
  <c r="P19" i="2" s="1"/>
  <c r="E12" i="2"/>
  <c r="H24" i="2"/>
  <c r="P24" i="2" a="1"/>
  <c r="P24" i="2" s="1"/>
  <c r="P25" i="2" a="1"/>
  <c r="P25" i="2" s="1"/>
  <c r="H18" i="2"/>
  <c r="G24" i="2"/>
  <c r="Q48" i="2" a="1"/>
  <c r="Q48" i="2" s="1"/>
  <c r="G48" i="2"/>
  <c r="P48" i="2" a="1"/>
  <c r="P48" i="2" s="1"/>
  <c r="R48" i="2" a="1"/>
  <c r="R48" i="2" s="1"/>
  <c r="E24" i="2"/>
  <c r="P47" i="2" a="1"/>
  <c r="P47" i="2" s="1"/>
  <c r="G74" i="2"/>
  <c r="U72" i="2"/>
  <c r="Q30" i="2" a="1"/>
  <c r="Q30" i="2" s="1"/>
  <c r="G35" i="2"/>
  <c r="H50" i="2"/>
  <c r="G92" i="2"/>
  <c r="Q95" i="2" a="1"/>
  <c r="Q95" i="2" s="1"/>
  <c r="E62" i="2"/>
  <c r="U110" i="2"/>
  <c r="H80" i="2"/>
  <c r="G117" i="2"/>
  <c r="G121" i="2"/>
  <c r="R165" i="2" a="1"/>
  <c r="R165" i="2" s="1"/>
  <c r="E198" i="2"/>
  <c r="H198" i="2"/>
  <c r="T165" i="2"/>
  <c r="U83" i="2"/>
  <c r="H91" i="2"/>
  <c r="H102" i="2"/>
  <c r="R102" i="2" a="1"/>
  <c r="R102" i="2" s="1"/>
  <c r="E102" i="2"/>
  <c r="T102" i="2"/>
  <c r="P102" i="2" a="1"/>
  <c r="P102" i="2" s="1"/>
  <c r="U122" i="2"/>
  <c r="R173" i="2" a="1"/>
  <c r="R173" i="2" s="1"/>
  <c r="P173" i="2" a="1"/>
  <c r="P173" i="2" s="1"/>
  <c r="Q173" i="2" a="1"/>
  <c r="Q173" i="2" s="1"/>
  <c r="T173" i="2"/>
  <c r="U177" i="2"/>
  <c r="Q149" i="2" a="1"/>
  <c r="Q149" i="2" s="1"/>
  <c r="H106" i="2"/>
  <c r="E88" i="2"/>
  <c r="G162" i="2"/>
  <c r="P150" i="2" a="1"/>
  <c r="P150" i="2" s="1"/>
  <c r="T161" i="2"/>
  <c r="T159" i="2"/>
  <c r="P49" i="2" a="1"/>
  <c r="P49" i="2" s="1"/>
  <c r="E36" i="2"/>
  <c r="E191" i="2"/>
  <c r="Q170" i="2" a="1"/>
  <c r="Q170" i="2" s="1"/>
  <c r="T49" i="2"/>
  <c r="E87" i="2"/>
  <c r="T177" i="2"/>
  <c r="H139" i="2"/>
  <c r="H149" i="2"/>
  <c r="H71" i="2"/>
  <c r="E169" i="2"/>
  <c r="H163" i="2"/>
  <c r="T163" i="2"/>
  <c r="E52" i="2"/>
  <c r="R177" i="2" a="1"/>
  <c r="R177" i="2" s="1"/>
  <c r="U88" i="2"/>
  <c r="G150" i="2"/>
  <c r="T178" i="2"/>
  <c r="E196" i="2"/>
  <c r="R139" i="2" a="1"/>
  <c r="R139" i="2" s="1"/>
  <c r="G93" i="2"/>
  <c r="U97" i="2"/>
  <c r="H84" i="2"/>
  <c r="P139" i="2" a="1"/>
  <c r="P139" i="2" s="1"/>
  <c r="E157" i="2"/>
  <c r="E44" i="2"/>
  <c r="E63" i="2"/>
  <c r="E60" i="2"/>
  <c r="E76" i="2"/>
  <c r="R78" i="2" a="1"/>
  <c r="R78" i="2" s="1"/>
  <c r="R84" i="2" a="1"/>
  <c r="R84" i="2" s="1"/>
  <c r="P163" i="2" a="1"/>
  <c r="P163" i="2" s="1"/>
  <c r="T139" i="2"/>
  <c r="R92" i="2" a="1"/>
  <c r="R92" i="2" s="1"/>
  <c r="M50" i="2"/>
  <c r="I19" i="2"/>
  <c r="O19" i="2"/>
  <c r="N19" i="2"/>
  <c r="M19" i="2"/>
  <c r="N23" i="2"/>
  <c r="O23" i="2"/>
  <c r="T23" i="2"/>
  <c r="P23" i="2" a="1"/>
  <c r="P23" i="2" s="1"/>
  <c r="H23" i="2"/>
  <c r="M23" i="2"/>
  <c r="I23" i="2"/>
  <c r="R23" i="2" a="1"/>
  <c r="R23" i="2" s="1"/>
  <c r="T38" i="2"/>
  <c r="M38" i="2"/>
  <c r="H38" i="2"/>
  <c r="R38" i="2" a="1"/>
  <c r="R38" i="2" s="1"/>
  <c r="I38" i="2"/>
  <c r="O38" i="2"/>
  <c r="N38" i="2"/>
  <c r="G43" i="2"/>
  <c r="I43" i="2"/>
  <c r="Q26" i="2" a="1"/>
  <c r="Q26" i="2" s="1"/>
  <c r="N26" i="2"/>
  <c r="I26" i="2"/>
  <c r="H26" i="2"/>
  <c r="I31" i="2"/>
  <c r="T31" i="2"/>
  <c r="M31" i="2"/>
  <c r="O31" i="2"/>
  <c r="G31" i="2"/>
  <c r="N31" i="2"/>
  <c r="O36" i="2"/>
  <c r="M36" i="2"/>
  <c r="N36" i="2"/>
  <c r="Q36" i="2" a="1"/>
  <c r="Q36" i="2" s="1"/>
  <c r="I36" i="2"/>
  <c r="N18" i="2"/>
  <c r="M18" i="2"/>
  <c r="U18" i="2"/>
  <c r="R18" i="2" a="1"/>
  <c r="R18" i="2" s="1"/>
  <c r="P18" i="2" a="1"/>
  <c r="P18" i="2" s="1"/>
  <c r="O20" i="2"/>
  <c r="M20" i="2"/>
  <c r="N20" i="2"/>
  <c r="I20" i="2"/>
  <c r="I24" i="2"/>
  <c r="R24" i="2" a="1"/>
  <c r="R24" i="2" s="1"/>
  <c r="M24" i="2"/>
  <c r="N24" i="2"/>
  <c r="M46" i="2"/>
  <c r="O46" i="2"/>
  <c r="N46" i="2"/>
  <c r="P46" i="2" a="1"/>
  <c r="P46" i="2" s="1"/>
  <c r="I46" i="2"/>
  <c r="H34" i="2"/>
  <c r="U34" i="2"/>
  <c r="R34" i="2" a="1"/>
  <c r="R34" i="2" s="1"/>
  <c r="I34" i="2"/>
  <c r="T39" i="2"/>
  <c r="O39" i="2"/>
  <c r="N39" i="2"/>
  <c r="M39" i="2"/>
  <c r="G39" i="2"/>
  <c r="Q39" i="2" a="1"/>
  <c r="Q39" i="2" s="1"/>
  <c r="I39" i="2"/>
  <c r="R39" i="2" a="1"/>
  <c r="R39" i="2" s="1"/>
  <c r="H39" i="2"/>
  <c r="O44" i="2"/>
  <c r="N44" i="2"/>
  <c r="R44" i="2" a="1"/>
  <c r="R44" i="2" s="1"/>
  <c r="H44" i="2"/>
  <c r="M44" i="2"/>
  <c r="I44" i="2"/>
  <c r="T44" i="2"/>
  <c r="M48" i="2"/>
  <c r="O48" i="2"/>
  <c r="H48" i="2"/>
  <c r="N48" i="2"/>
  <c r="I48" i="2"/>
  <c r="O52" i="2"/>
  <c r="N52" i="2"/>
  <c r="M52" i="2"/>
  <c r="Q52" i="2" a="1"/>
  <c r="Q52" i="2" s="1"/>
  <c r="H52" i="2"/>
  <c r="I52" i="2"/>
  <c r="P52" i="2" a="1"/>
  <c r="P52" i="2" s="1"/>
  <c r="N56" i="2"/>
  <c r="H56" i="2"/>
  <c r="G56" i="2"/>
  <c r="I56" i="2"/>
  <c r="M56" i="2"/>
  <c r="R56" i="2" a="1"/>
  <c r="R56" i="2" s="1"/>
  <c r="M60" i="2"/>
  <c r="O60" i="2"/>
  <c r="N60" i="2"/>
  <c r="R60" i="2" a="1"/>
  <c r="R60" i="2" s="1"/>
  <c r="H60" i="2"/>
  <c r="G60" i="2"/>
  <c r="I60" i="2"/>
  <c r="N64" i="2"/>
  <c r="I64" i="2"/>
  <c r="M64" i="2"/>
  <c r="G64" i="2"/>
  <c r="R64" i="2" a="1"/>
  <c r="R64" i="2" s="1"/>
  <c r="H64" i="2"/>
  <c r="P64" i="2" a="1"/>
  <c r="P64" i="2" s="1"/>
  <c r="Q64" i="2" a="1"/>
  <c r="Q64" i="2" s="1"/>
  <c r="M32" i="2"/>
  <c r="N32" i="2"/>
  <c r="T32" i="2"/>
  <c r="I32" i="2"/>
  <c r="Q32" i="2" a="1"/>
  <c r="Q32" i="2" s="1"/>
  <c r="E32" i="2"/>
  <c r="M28" i="2"/>
  <c r="Q28" i="2" a="1"/>
  <c r="Q28" i="2" s="1"/>
  <c r="O47" i="2"/>
  <c r="N47" i="2"/>
  <c r="U47" i="2"/>
  <c r="T47" i="2"/>
  <c r="I47" i="2"/>
  <c r="U70" i="2"/>
  <c r="O70" i="2"/>
  <c r="N70" i="2"/>
  <c r="R70" i="2" a="1"/>
  <c r="R70" i="2" s="1"/>
  <c r="P70" i="2" a="1"/>
  <c r="P70" i="2" s="1"/>
  <c r="M70" i="2"/>
  <c r="I70" i="2"/>
  <c r="H74" i="2"/>
  <c r="U74" i="2"/>
  <c r="P74" i="2" a="1"/>
  <c r="P74" i="2" s="1"/>
  <c r="I87" i="2"/>
  <c r="O87" i="2"/>
  <c r="M87" i="2"/>
  <c r="R87" i="2" a="1"/>
  <c r="R87" i="2" s="1"/>
  <c r="Q87" i="2" a="1"/>
  <c r="Q87" i="2" s="1"/>
  <c r="N87" i="2"/>
  <c r="I72" i="2"/>
  <c r="R72" i="2" a="1"/>
  <c r="R72" i="2" s="1"/>
  <c r="E72" i="2"/>
  <c r="N72" i="2"/>
  <c r="Q72" i="2" a="1"/>
  <c r="Q72" i="2" s="1"/>
  <c r="N76" i="2"/>
  <c r="M76" i="2"/>
  <c r="Q76" i="2" a="1"/>
  <c r="Q76" i="2" s="1"/>
  <c r="G76" i="2"/>
  <c r="I76" i="2"/>
  <c r="O76" i="2"/>
  <c r="N30" i="2"/>
  <c r="R30" i="2" a="1"/>
  <c r="R30" i="2" s="1"/>
  <c r="O30" i="2"/>
  <c r="M30" i="2"/>
  <c r="I30" i="2"/>
  <c r="I25" i="2"/>
  <c r="O25" i="2"/>
  <c r="O35" i="2"/>
  <c r="N35" i="2"/>
  <c r="M35" i="2"/>
  <c r="R35" i="2" a="1"/>
  <c r="R35" i="2" s="1"/>
  <c r="I35" i="2"/>
  <c r="M40" i="2"/>
  <c r="N40" i="2"/>
  <c r="I40" i="2"/>
  <c r="M33" i="2"/>
  <c r="N33" i="2"/>
  <c r="O33" i="2"/>
  <c r="I33" i="2"/>
  <c r="G97" i="2"/>
  <c r="H97" i="2"/>
  <c r="M97" i="2"/>
  <c r="O97" i="2"/>
  <c r="P97" i="2" a="1"/>
  <c r="P97" i="2" s="1"/>
  <c r="Q97" i="2" a="1"/>
  <c r="Q97" i="2" s="1"/>
  <c r="N97" i="2"/>
  <c r="I97" i="2"/>
  <c r="M105" i="2"/>
  <c r="N105" i="2"/>
  <c r="Q105" i="2" a="1"/>
  <c r="Q105" i="2" s="1"/>
  <c r="O105" i="2"/>
  <c r="I105" i="2"/>
  <c r="M101" i="2"/>
  <c r="N101" i="2"/>
  <c r="T101" i="2"/>
  <c r="O101" i="2"/>
  <c r="H101" i="2"/>
  <c r="R101" i="2" a="1"/>
  <c r="R101" i="2" s="1"/>
  <c r="I101" i="2"/>
  <c r="U101" i="2"/>
  <c r="G101" i="2"/>
  <c r="O151" i="2"/>
  <c r="N151" i="2"/>
  <c r="M151" i="2"/>
  <c r="I151" i="2"/>
  <c r="T151" i="2"/>
  <c r="G151" i="2"/>
  <c r="P151" i="2" a="1"/>
  <c r="P151" i="2" s="1"/>
  <c r="E151" i="2"/>
  <c r="Q151" i="2" a="1"/>
  <c r="Q151" i="2" s="1"/>
  <c r="O62" i="2"/>
  <c r="M62" i="2"/>
  <c r="I62" i="2"/>
  <c r="N62" i="2"/>
  <c r="H62" i="2"/>
  <c r="I95" i="2"/>
  <c r="N95" i="2"/>
  <c r="M95" i="2"/>
  <c r="O95" i="2"/>
  <c r="H98" i="2"/>
  <c r="I98" i="2"/>
  <c r="T98" i="2"/>
  <c r="M98" i="2"/>
  <c r="G98" i="2"/>
  <c r="O110" i="2"/>
  <c r="T110" i="2"/>
  <c r="Q110" i="2" a="1"/>
  <c r="Q110" i="2" s="1"/>
  <c r="N110" i="2"/>
  <c r="R110" i="2" a="1"/>
  <c r="R110" i="2" s="1"/>
  <c r="G110" i="2"/>
  <c r="M110" i="2"/>
  <c r="E110" i="2"/>
  <c r="I110" i="2"/>
  <c r="I113" i="2"/>
  <c r="N113" i="2"/>
  <c r="O113" i="2"/>
  <c r="T113" i="2"/>
  <c r="U113" i="2"/>
  <c r="M113" i="2"/>
  <c r="N58" i="2"/>
  <c r="I58" i="2"/>
  <c r="I80" i="2"/>
  <c r="N80" i="2"/>
  <c r="M80" i="2"/>
  <c r="G80" i="2"/>
  <c r="M109" i="2"/>
  <c r="N109" i="2"/>
  <c r="I109" i="2"/>
  <c r="Q109" i="2" a="1"/>
  <c r="Q109" i="2" s="1"/>
  <c r="O109" i="2"/>
  <c r="R109" i="2" a="1"/>
  <c r="R109" i="2" s="1"/>
  <c r="O89" i="2"/>
  <c r="I89" i="2"/>
  <c r="N89" i="2"/>
  <c r="M89" i="2"/>
  <c r="U89" i="2"/>
  <c r="N117" i="2"/>
  <c r="M117" i="2"/>
  <c r="O117" i="2"/>
  <c r="Q117" i="2" a="1"/>
  <c r="Q117" i="2" s="1"/>
  <c r="I117" i="2"/>
  <c r="M121" i="2"/>
  <c r="N121" i="2"/>
  <c r="I121" i="2"/>
  <c r="O121" i="2"/>
  <c r="P121" i="2" a="1"/>
  <c r="P121" i="2" s="1"/>
  <c r="Q121" i="2" a="1"/>
  <c r="Q121" i="2" s="1"/>
  <c r="I125" i="2"/>
  <c r="N125" i="2"/>
  <c r="O125" i="2"/>
  <c r="M125" i="2"/>
  <c r="P158" i="2" a="1"/>
  <c r="P158" i="2" s="1"/>
  <c r="O158" i="2"/>
  <c r="I158" i="2"/>
  <c r="N158" i="2"/>
  <c r="M158" i="2"/>
  <c r="U158" i="2"/>
  <c r="G158" i="2"/>
  <c r="P164" i="2" a="1"/>
  <c r="P164" i="2" s="1"/>
  <c r="O164" i="2"/>
  <c r="M164" i="2"/>
  <c r="I164" i="2"/>
  <c r="U164" i="2"/>
  <c r="N164" i="2"/>
  <c r="G164" i="2"/>
  <c r="N130" i="2"/>
  <c r="M130" i="2"/>
  <c r="H130" i="2"/>
  <c r="T130" i="2"/>
  <c r="P130" i="2" a="1"/>
  <c r="P130" i="2" s="1"/>
  <c r="M142" i="2"/>
  <c r="O142" i="2"/>
  <c r="U142" i="2"/>
  <c r="H142" i="2"/>
  <c r="N142" i="2"/>
  <c r="I142" i="2"/>
  <c r="G142" i="2"/>
  <c r="O157" i="2"/>
  <c r="U157" i="2"/>
  <c r="M157" i="2"/>
  <c r="H157" i="2"/>
  <c r="I157" i="2"/>
  <c r="G157" i="2"/>
  <c r="N157" i="2"/>
  <c r="P198" i="2" a="1"/>
  <c r="P198" i="2" s="1"/>
  <c r="G198" i="2"/>
  <c r="U198" i="2"/>
  <c r="N198" i="2"/>
  <c r="R198" i="2" a="1"/>
  <c r="R198" i="2" s="1"/>
  <c r="O198" i="2"/>
  <c r="N90" i="2"/>
  <c r="U90" i="2"/>
  <c r="M90" i="2"/>
  <c r="I178" i="2"/>
  <c r="O178" i="2"/>
  <c r="N178" i="2"/>
  <c r="M178" i="2"/>
  <c r="E178" i="2"/>
  <c r="N83" i="2"/>
  <c r="O83" i="2"/>
  <c r="I83" i="2"/>
  <c r="M83" i="2"/>
  <c r="M91" i="2"/>
  <c r="N91" i="2"/>
  <c r="U91" i="2"/>
  <c r="O91" i="2"/>
  <c r="M129" i="2"/>
  <c r="N129" i="2"/>
  <c r="I129" i="2"/>
  <c r="I134" i="2"/>
  <c r="O134" i="2"/>
  <c r="N134" i="2"/>
  <c r="T134" i="2"/>
  <c r="M134" i="2"/>
  <c r="G134" i="2"/>
  <c r="O174" i="2"/>
  <c r="M174" i="2"/>
  <c r="N174" i="2"/>
  <c r="I174" i="2"/>
  <c r="Q174" i="2" a="1"/>
  <c r="Q174" i="2" s="1"/>
  <c r="O102" i="2"/>
  <c r="N102" i="2"/>
  <c r="I102" i="2"/>
  <c r="M102" i="2"/>
  <c r="N118" i="2"/>
  <c r="M118" i="2"/>
  <c r="O118" i="2"/>
  <c r="H118" i="2"/>
  <c r="I118" i="2"/>
  <c r="M122" i="2"/>
  <c r="I122" i="2"/>
  <c r="P122" i="2" a="1"/>
  <c r="P122" i="2" s="1"/>
  <c r="H122" i="2"/>
  <c r="N122" i="2"/>
  <c r="I126" i="2"/>
  <c r="M126" i="2"/>
  <c r="H126" i="2"/>
  <c r="P126" i="2" a="1"/>
  <c r="P126" i="2" s="1"/>
  <c r="N126" i="2"/>
  <c r="O126" i="2"/>
  <c r="M149" i="2"/>
  <c r="I149" i="2"/>
  <c r="N155" i="2"/>
  <c r="Q155" i="2" a="1"/>
  <c r="Q155" i="2" s="1"/>
  <c r="M155" i="2"/>
  <c r="I155" i="2"/>
  <c r="E155" i="2"/>
  <c r="P155" i="2" a="1"/>
  <c r="P155" i="2" s="1"/>
  <c r="O155" i="2"/>
  <c r="P170" i="2" a="1"/>
  <c r="P170" i="2" s="1"/>
  <c r="O170" i="2"/>
  <c r="N170" i="2"/>
  <c r="M170" i="2"/>
  <c r="R170" i="2" a="1"/>
  <c r="R170" i="2" s="1"/>
  <c r="I170" i="2"/>
  <c r="M172" i="2"/>
  <c r="G172" i="2"/>
  <c r="N172" i="2"/>
  <c r="O172" i="2"/>
  <c r="I172" i="2"/>
  <c r="N173" i="2"/>
  <c r="O173" i="2"/>
  <c r="O184" i="2"/>
  <c r="N184" i="2"/>
  <c r="M184" i="2"/>
  <c r="I184" i="2"/>
  <c r="M188" i="2"/>
  <c r="O188" i="2"/>
  <c r="N188" i="2"/>
  <c r="I188" i="2"/>
  <c r="I192" i="2"/>
  <c r="O192" i="2"/>
  <c r="N192" i="2"/>
  <c r="M192" i="2"/>
  <c r="O196" i="2"/>
  <c r="N196" i="2"/>
  <c r="M196" i="2"/>
  <c r="Q196" i="2" a="1"/>
  <c r="Q196" i="2" s="1"/>
  <c r="I196" i="2"/>
  <c r="I200" i="2"/>
  <c r="M200" i="2"/>
  <c r="I106" i="2"/>
  <c r="N106" i="2"/>
  <c r="M106" i="2"/>
  <c r="M88" i="2"/>
  <c r="T88" i="2"/>
  <c r="N88" i="2"/>
  <c r="O166" i="2"/>
  <c r="N166" i="2"/>
  <c r="P166" i="2" a="1"/>
  <c r="P166" i="2" s="1"/>
  <c r="U166" i="2"/>
  <c r="M166" i="2"/>
  <c r="H166" i="2"/>
  <c r="P168" i="2" a="1"/>
  <c r="P168" i="2" s="1"/>
  <c r="N168" i="2"/>
  <c r="M168" i="2"/>
  <c r="I169" i="2"/>
  <c r="O169" i="2"/>
  <c r="R169" i="2" a="1"/>
  <c r="R169" i="2" s="1"/>
  <c r="N169" i="2"/>
  <c r="M169" i="2"/>
  <c r="M150" i="2"/>
  <c r="O150" i="2"/>
  <c r="I150" i="2"/>
  <c r="N150" i="2"/>
  <c r="T150" i="2"/>
  <c r="O161" i="2"/>
  <c r="M161" i="2"/>
  <c r="N161" i="2"/>
  <c r="I161" i="2"/>
  <c r="O148" i="2"/>
  <c r="N148" i="2"/>
  <c r="I148" i="2"/>
  <c r="M148" i="2"/>
  <c r="N152" i="2"/>
  <c r="I152" i="2"/>
  <c r="M160" i="2"/>
  <c r="N160" i="2"/>
  <c r="M63" i="2"/>
  <c r="O63" i="2"/>
  <c r="I63" i="2"/>
  <c r="N63" i="2"/>
  <c r="U63" i="2"/>
  <c r="H63" i="2"/>
  <c r="O69" i="2"/>
  <c r="M69" i="2"/>
  <c r="T69" i="2"/>
  <c r="N69" i="2"/>
  <c r="I69" i="2"/>
  <c r="Q71" i="2" a="1"/>
  <c r="Q71" i="2" s="1"/>
  <c r="U71" i="2"/>
  <c r="I71" i="2"/>
  <c r="R71" i="2" a="1"/>
  <c r="R71" i="2" s="1"/>
  <c r="M71" i="2"/>
  <c r="G71" i="2"/>
  <c r="I21" i="2"/>
  <c r="N21" i="2"/>
  <c r="O21" i="2"/>
  <c r="H21" i="2"/>
  <c r="M21" i="2"/>
  <c r="N37" i="2"/>
  <c r="O37" i="2"/>
  <c r="M37" i="2"/>
  <c r="I37" i="2"/>
  <c r="M67" i="2"/>
  <c r="G67" i="2"/>
  <c r="I67" i="2"/>
  <c r="I75" i="2"/>
  <c r="N75" i="2"/>
  <c r="M75" i="2"/>
  <c r="U75" i="2"/>
  <c r="P75" i="2" a="1"/>
  <c r="P75" i="2" s="1"/>
  <c r="T75" i="2"/>
  <c r="O75" i="2"/>
  <c r="O77" i="2"/>
  <c r="I77" i="2"/>
  <c r="M77" i="2"/>
  <c r="N77" i="2"/>
  <c r="T77" i="2"/>
  <c r="O81" i="2"/>
  <c r="M81" i="2"/>
  <c r="I81" i="2"/>
  <c r="N81" i="2"/>
  <c r="T81" i="2"/>
  <c r="N84" i="2"/>
  <c r="P84" i="2" a="1"/>
  <c r="P84" i="2" s="1"/>
  <c r="M84" i="2"/>
  <c r="O84" i="2"/>
  <c r="T84" i="2"/>
  <c r="Q84" i="2" a="1"/>
  <c r="Q84" i="2" s="1"/>
  <c r="I84" i="2"/>
  <c r="O93" i="2"/>
  <c r="M93" i="2"/>
  <c r="Q93" i="2" a="1"/>
  <c r="Q93" i="2" s="1"/>
  <c r="N93" i="2"/>
  <c r="R93" i="2" a="1"/>
  <c r="R93" i="2" s="1"/>
  <c r="P93" i="2" a="1"/>
  <c r="P93" i="2" s="1"/>
  <c r="I93" i="2"/>
  <c r="R55" i="2" a="1"/>
  <c r="R55" i="2" s="1"/>
  <c r="I55" i="2"/>
  <c r="E107" i="2"/>
  <c r="I107" i="2"/>
  <c r="H123" i="2"/>
  <c r="P123" i="2" a="1"/>
  <c r="P123" i="2" s="1"/>
  <c r="U123" i="2"/>
  <c r="T123" i="2"/>
  <c r="I123" i="2"/>
  <c r="E123" i="2"/>
  <c r="O59" i="2"/>
  <c r="G59" i="2"/>
  <c r="M59" i="2"/>
  <c r="T59" i="2"/>
  <c r="N59" i="2"/>
  <c r="H59" i="2"/>
  <c r="P59" i="2" a="1"/>
  <c r="P59" i="2" s="1"/>
  <c r="I59" i="2"/>
  <c r="O99" i="2"/>
  <c r="N99" i="2"/>
  <c r="H99" i="2"/>
  <c r="M99" i="2"/>
  <c r="R99" i="2" a="1"/>
  <c r="R99" i="2" s="1"/>
  <c r="T99" i="2"/>
  <c r="Q99" i="2" a="1"/>
  <c r="Q99" i="2" s="1"/>
  <c r="I99" i="2"/>
  <c r="G99" i="2"/>
  <c r="I103" i="2"/>
  <c r="O103" i="2"/>
  <c r="M103" i="2"/>
  <c r="N103" i="2"/>
  <c r="R103" i="2" a="1"/>
  <c r="R103" i="2" s="1"/>
  <c r="M104" i="2"/>
  <c r="U104" i="2"/>
  <c r="H104" i="2"/>
  <c r="Q104" i="2" a="1"/>
  <c r="Q104" i="2" s="1"/>
  <c r="I108" i="2"/>
  <c r="T108" i="2"/>
  <c r="P108" i="2" a="1"/>
  <c r="P108" i="2" s="1"/>
  <c r="M108" i="2"/>
  <c r="O143" i="2"/>
  <c r="N143" i="2"/>
  <c r="M143" i="2"/>
  <c r="T143" i="2"/>
  <c r="R143" i="2" a="1"/>
  <c r="R143" i="2" s="1"/>
  <c r="H143" i="2"/>
  <c r="I143" i="2"/>
  <c r="Q147" i="2" a="1"/>
  <c r="Q147" i="2" s="1"/>
  <c r="I147" i="2"/>
  <c r="O79" i="2"/>
  <c r="N79" i="2"/>
  <c r="M79" i="2"/>
  <c r="U79" i="2"/>
  <c r="H79" i="2"/>
  <c r="Q79" i="2" a="1"/>
  <c r="Q79" i="2" s="1"/>
  <c r="G79" i="2"/>
  <c r="I79" i="2"/>
  <c r="I86" i="2"/>
  <c r="O86" i="2"/>
  <c r="N86" i="2"/>
  <c r="M86" i="2"/>
  <c r="U86" i="2"/>
  <c r="T86" i="2"/>
  <c r="N61" i="2"/>
  <c r="O61" i="2"/>
  <c r="M61" i="2"/>
  <c r="P61" i="2" a="1"/>
  <c r="P61" i="2" s="1"/>
  <c r="I61" i="2"/>
  <c r="O131" i="2"/>
  <c r="Q131" i="2" a="1"/>
  <c r="Q131" i="2" s="1"/>
  <c r="N131" i="2"/>
  <c r="R131" i="2" a="1"/>
  <c r="R131" i="2" s="1"/>
  <c r="M131" i="2"/>
  <c r="I131" i="2"/>
  <c r="O165" i="2"/>
  <c r="Q165" i="2" a="1"/>
  <c r="Q165" i="2" s="1"/>
  <c r="N165" i="2"/>
  <c r="M165" i="2"/>
  <c r="I165" i="2"/>
  <c r="H165" i="2"/>
  <c r="Q183" i="2" a="1"/>
  <c r="Q183" i="2" s="1"/>
  <c r="I183" i="2"/>
  <c r="N183" i="2"/>
  <c r="M183" i="2"/>
  <c r="P183" i="2" a="1"/>
  <c r="P183" i="2" s="1"/>
  <c r="O183" i="2"/>
  <c r="E183" i="2"/>
  <c r="M186" i="2"/>
  <c r="H186" i="2"/>
  <c r="Q186" i="2" a="1"/>
  <c r="Q186" i="2" s="1"/>
  <c r="R186" i="2" a="1"/>
  <c r="R186" i="2" s="1"/>
  <c r="G186" i="2"/>
  <c r="I186" i="2"/>
  <c r="M82" i="2"/>
  <c r="N82" i="2"/>
  <c r="I82" i="2"/>
  <c r="R82" i="2" a="1"/>
  <c r="R82" i="2" s="1"/>
  <c r="Q176" i="2" a="1"/>
  <c r="Q176" i="2" s="1"/>
  <c r="N176" i="2"/>
  <c r="T176" i="2"/>
  <c r="M176" i="2"/>
  <c r="I176" i="2"/>
  <c r="M187" i="2"/>
  <c r="O187" i="2"/>
  <c r="N187" i="2"/>
  <c r="I187" i="2"/>
  <c r="I66" i="2"/>
  <c r="N66" i="2"/>
  <c r="O182" i="2"/>
  <c r="G182" i="2"/>
  <c r="U182" i="2"/>
  <c r="M167" i="2"/>
  <c r="I167" i="2"/>
  <c r="O167" i="2"/>
  <c r="P167" i="2" a="1"/>
  <c r="P167" i="2" s="1"/>
  <c r="N167" i="2"/>
  <c r="M193" i="2"/>
  <c r="I193" i="2"/>
  <c r="N193" i="2"/>
  <c r="O193" i="2"/>
  <c r="T193" i="2"/>
  <c r="P193" i="2" a="1"/>
  <c r="P193" i="2" s="1"/>
  <c r="I194" i="2"/>
  <c r="N194" i="2"/>
  <c r="R194" i="2" a="1"/>
  <c r="R194" i="2" s="1"/>
  <c r="M194" i="2"/>
  <c r="P194" i="2" a="1"/>
  <c r="P194" i="2" s="1"/>
  <c r="T194" i="2"/>
  <c r="G194" i="2"/>
  <c r="H194" i="2"/>
  <c r="Q194" i="2" a="1"/>
  <c r="Q194" i="2" s="1"/>
  <c r="M127" i="2"/>
  <c r="T127" i="2"/>
  <c r="Q127" i="2" a="1"/>
  <c r="Q127" i="2" s="1"/>
  <c r="O195" i="2"/>
  <c r="M195" i="2"/>
  <c r="H195" i="2"/>
  <c r="E195" i="2"/>
  <c r="R195" i="2" a="1"/>
  <c r="R195" i="2" s="1"/>
  <c r="N195" i="2"/>
  <c r="I195" i="2"/>
  <c r="O71" i="2"/>
  <c r="E69" i="2"/>
  <c r="P137" i="2" a="1"/>
  <c r="P137" i="2" s="1"/>
  <c r="N92" i="2"/>
  <c r="M96" i="2"/>
  <c r="U96" i="2"/>
  <c r="N96" i="2"/>
  <c r="M156" i="2"/>
  <c r="N156" i="2"/>
  <c r="H137" i="2"/>
  <c r="E156" i="2"/>
  <c r="M171" i="2"/>
  <c r="I85" i="2"/>
  <c r="M25" i="2"/>
  <c r="M74" i="2"/>
  <c r="O92" i="2"/>
  <c r="I135" i="2"/>
  <c r="O135" i="2"/>
  <c r="M135" i="2"/>
  <c r="N135" i="2"/>
  <c r="Q135" i="2" a="1"/>
  <c r="Q135" i="2" s="1"/>
  <c r="T199" i="2"/>
  <c r="M41" i="2"/>
  <c r="N41" i="2"/>
  <c r="O41" i="2"/>
  <c r="I92" i="2"/>
  <c r="H119" i="2"/>
  <c r="E187" i="2"/>
  <c r="M144" i="2"/>
  <c r="N144" i="2"/>
  <c r="N171" i="2"/>
  <c r="O156" i="2"/>
  <c r="H92" i="2"/>
  <c r="I141" i="2"/>
  <c r="O141" i="2"/>
  <c r="M141" i="2"/>
  <c r="T141" i="2"/>
  <c r="H199" i="2"/>
  <c r="M85" i="2"/>
  <c r="I144" i="2"/>
  <c r="E119" i="2"/>
  <c r="H85" i="2"/>
  <c r="T198" i="2"/>
  <c r="T107" i="2"/>
  <c r="Q107" i="2" a="1"/>
  <c r="Q107" i="2" s="1"/>
  <c r="M107" i="2"/>
  <c r="O107" i="2"/>
  <c r="H107" i="2"/>
  <c r="T147" i="2"/>
  <c r="P147" i="2" a="1"/>
  <c r="P147" i="2" s="1"/>
  <c r="O147" i="2"/>
  <c r="G147" i="2"/>
  <c r="N104" i="2"/>
  <c r="O50" i="2"/>
  <c r="I50" i="2"/>
  <c r="N50" i="2"/>
  <c r="N73" i="2"/>
  <c r="O73" i="2"/>
  <c r="M73" i="2"/>
  <c r="T156" i="2"/>
  <c r="I41" i="2"/>
  <c r="I127" i="2"/>
  <c r="O127" i="2"/>
  <c r="N127" i="2"/>
  <c r="G127" i="2"/>
  <c r="O171" i="2"/>
  <c r="N163" i="2"/>
  <c r="G163" i="2"/>
  <c r="M163" i="2"/>
  <c r="O163" i="2"/>
  <c r="M147" i="2"/>
  <c r="I199" i="2"/>
  <c r="N49" i="2"/>
  <c r="I49" i="2"/>
  <c r="O49" i="2"/>
  <c r="M49" i="2"/>
  <c r="O119" i="2"/>
  <c r="M119" i="2"/>
  <c r="N119" i="2"/>
  <c r="M92" i="2"/>
  <c r="Q119" i="2" a="1"/>
  <c r="Q119" i="2" s="1"/>
  <c r="N29" i="2"/>
  <c r="M29" i="2"/>
  <c r="R156" i="2" a="1"/>
  <c r="R156" i="2" s="1"/>
  <c r="G123" i="2"/>
  <c r="N85" i="2"/>
  <c r="O29" i="2"/>
  <c r="I163" i="2"/>
  <c r="N137" i="2"/>
  <c r="O137" i="2"/>
  <c r="I137" i="2"/>
  <c r="T137" i="2"/>
  <c r="I29" i="2"/>
  <c r="O149" i="2"/>
  <c r="I185" i="2"/>
  <c r="N185" i="2"/>
  <c r="M185" i="2"/>
  <c r="Q156" i="2" a="1"/>
  <c r="Q156" i="2" s="1"/>
  <c r="O108" i="2"/>
  <c r="R132" i="2" a="1"/>
  <c r="R132" i="2" s="1"/>
  <c r="M132" i="2"/>
  <c r="G132" i="2"/>
  <c r="O132" i="2"/>
  <c r="N132" i="2"/>
  <c r="N141" i="2"/>
  <c r="H147" i="2"/>
  <c r="M199" i="2"/>
  <c r="R199" i="2" a="1"/>
  <c r="R199" i="2" s="1"/>
  <c r="M145" i="2"/>
  <c r="N108" i="2"/>
  <c r="N149" i="2"/>
  <c r="M198" i="2"/>
  <c r="N123" i="2"/>
  <c r="N25" i="2"/>
  <c r="O189" i="2"/>
  <c r="O199" i="2"/>
  <c r="M201" i="2"/>
  <c r="N199" i="2"/>
  <c r="O201" i="2"/>
  <c r="N201" i="2"/>
  <c r="O123" i="2"/>
  <c r="N74" i="2"/>
  <c r="I145" i="2"/>
  <c r="I198" i="2"/>
  <c r="U149" i="2"/>
  <c r="N71" i="2"/>
  <c r="P71" i="2" a="1"/>
  <c r="P71" i="2" s="1"/>
  <c r="M123" i="2"/>
  <c r="O11" i="2"/>
  <c r="N11" i="2"/>
  <c r="T11" i="2"/>
  <c r="H11" i="2"/>
  <c r="I11" i="2"/>
  <c r="U16" i="2"/>
  <c r="Q11" i="2" a="1"/>
  <c r="Q11" i="2" s="1"/>
  <c r="G14" i="2"/>
  <c r="R15" i="2" a="1"/>
  <c r="R15" i="2" s="1"/>
  <c r="H12" i="2"/>
  <c r="O17" i="2"/>
  <c r="T17" i="2"/>
  <c r="I17" i="2"/>
  <c r="R17" i="2" a="1"/>
  <c r="R17" i="2" s="1"/>
  <c r="O14" i="2"/>
  <c r="N17" i="2"/>
  <c r="M27" i="2"/>
  <c r="J27" i="2"/>
  <c r="T27" i="2"/>
  <c r="D27" i="2"/>
  <c r="N27" i="2"/>
  <c r="I27" i="2"/>
  <c r="K27" i="2"/>
  <c r="L27" i="2"/>
  <c r="G27" i="2"/>
  <c r="O27" i="2"/>
  <c r="M100" i="2"/>
  <c r="Q100" i="2" a="1"/>
  <c r="Q100" i="2" s="1"/>
  <c r="C100" i="2"/>
  <c r="J100" i="2"/>
  <c r="D100" i="2"/>
  <c r="E100" i="2" s="1"/>
  <c r="F100" i="2"/>
  <c r="K100" i="2"/>
  <c r="U100" i="2"/>
  <c r="R100" i="2" a="1"/>
  <c r="R100" i="2" s="1"/>
  <c r="O100" i="2"/>
  <c r="L100" i="2"/>
  <c r="T100" i="2"/>
  <c r="I100" i="2"/>
  <c r="M159" i="2"/>
  <c r="N159" i="2"/>
  <c r="I159" i="2"/>
  <c r="J159" i="2"/>
  <c r="Q159" i="2" a="1"/>
  <c r="Q159" i="2" s="1"/>
  <c r="V159" i="2"/>
  <c r="K159" i="2"/>
  <c r="O159" i="2"/>
  <c r="L159" i="2"/>
  <c r="K13" i="2"/>
  <c r="L13" i="2"/>
  <c r="J13" i="2"/>
  <c r="C13" i="2"/>
  <c r="V13" i="2"/>
  <c r="D13" i="2"/>
  <c r="E13" i="2" s="1"/>
  <c r="W13" i="2"/>
  <c r="F78" i="2"/>
  <c r="I78" i="2"/>
  <c r="P78" i="2" a="1"/>
  <c r="P78" i="2" s="1"/>
  <c r="O78" i="2"/>
  <c r="N78" i="2"/>
  <c r="V78" i="2"/>
  <c r="H78" i="2"/>
  <c r="J78" i="2"/>
  <c r="M78" i="2"/>
  <c r="K78" i="2"/>
  <c r="R138" i="2" a="1"/>
  <c r="R138" i="2" s="1"/>
  <c r="I138" i="2"/>
  <c r="T138" i="2"/>
  <c r="U138" i="2"/>
  <c r="J138" i="2"/>
  <c r="K138" i="2"/>
  <c r="N138" i="2"/>
  <c r="M138" i="2"/>
  <c r="M22" i="2"/>
  <c r="O22" i="2"/>
  <c r="N22" i="2"/>
  <c r="R22" i="2" a="1"/>
  <c r="R22" i="2" s="1"/>
  <c r="J22" i="2"/>
  <c r="D22" i="2"/>
  <c r="K22" i="2"/>
  <c r="L22" i="2"/>
  <c r="F146" i="2"/>
  <c r="T146" i="2"/>
  <c r="J146" i="2"/>
  <c r="H146" i="2"/>
  <c r="K146" i="2"/>
  <c r="G146" i="2"/>
  <c r="U146" i="2"/>
  <c r="M146" i="2"/>
  <c r="L146" i="2"/>
  <c r="M51" i="2"/>
  <c r="V51" i="2"/>
  <c r="U51" i="2"/>
  <c r="D51" i="2"/>
  <c r="E51" i="2" s="1"/>
  <c r="O51" i="2"/>
  <c r="J51" i="2"/>
  <c r="R51" i="2" a="1"/>
  <c r="R51" i="2" s="1"/>
  <c r="G51" i="2"/>
  <c r="I51" i="2"/>
  <c r="C51" i="2"/>
  <c r="F51" i="2"/>
  <c r="K51" i="2"/>
  <c r="W51" i="2"/>
  <c r="N51" i="2"/>
  <c r="L51" i="2"/>
  <c r="N112" i="2"/>
  <c r="I112" i="2"/>
  <c r="Q112" i="2" a="1"/>
  <c r="Q112" i="2" s="1"/>
  <c r="J112" i="2"/>
  <c r="K112" i="2"/>
  <c r="R112" i="2" a="1"/>
  <c r="R112" i="2" s="1"/>
  <c r="L112" i="2"/>
  <c r="W112" i="2"/>
  <c r="I177" i="2"/>
  <c r="M177" i="2"/>
  <c r="Q177" i="2" a="1"/>
  <c r="Q177" i="2" s="1"/>
  <c r="N177" i="2"/>
  <c r="J177" i="2"/>
  <c r="O177" i="2"/>
  <c r="G177" i="2"/>
  <c r="K177" i="2"/>
  <c r="I120" i="2"/>
  <c r="N120" i="2"/>
  <c r="F120" i="2"/>
  <c r="U120" i="2"/>
  <c r="W120" i="2"/>
  <c r="J120" i="2"/>
  <c r="E120" i="2"/>
  <c r="P120" i="2" a="1"/>
  <c r="P120" i="2" s="1"/>
  <c r="O120" i="2"/>
  <c r="C120" i="2"/>
  <c r="G120" i="2"/>
  <c r="V120" i="2"/>
  <c r="Q120" i="2" a="1"/>
  <c r="Q120" i="2" s="1"/>
  <c r="M120" i="2"/>
  <c r="K120" i="2"/>
  <c r="D120" i="2"/>
  <c r="M53" i="2"/>
  <c r="D53" i="2"/>
  <c r="E53" i="2" s="1"/>
  <c r="C53" i="2"/>
  <c r="W53" i="2"/>
  <c r="I53" i="2"/>
  <c r="V53" i="2"/>
  <c r="O53" i="2"/>
  <c r="K53" i="2"/>
  <c r="P53" i="2" a="1"/>
  <c r="P53" i="2" s="1"/>
  <c r="F53" i="2"/>
  <c r="N53" i="2"/>
  <c r="L53" i="2"/>
  <c r="L114" i="2"/>
  <c r="P114" i="2" a="1"/>
  <c r="P114" i="2" s="1"/>
  <c r="Q114" i="2" a="1"/>
  <c r="Q114" i="2" s="1"/>
  <c r="I114" i="2"/>
  <c r="T114" i="2"/>
  <c r="R114" i="2" a="1"/>
  <c r="R114" i="2" s="1"/>
  <c r="E114" i="2"/>
  <c r="U114" i="2"/>
  <c r="J114" i="2"/>
  <c r="K114" i="2"/>
  <c r="M179" i="2"/>
  <c r="R179" i="2" a="1"/>
  <c r="R179" i="2" s="1"/>
  <c r="I179" i="2"/>
  <c r="C179" i="2"/>
  <c r="O179" i="2"/>
  <c r="Q179" i="2" a="1"/>
  <c r="Q179" i="2" s="1"/>
  <c r="H179" i="2"/>
  <c r="F179" i="2"/>
  <c r="J179" i="2"/>
  <c r="P179" i="2" a="1"/>
  <c r="P179" i="2" s="1"/>
  <c r="V179" i="2"/>
  <c r="T179" i="2"/>
  <c r="K179" i="2"/>
  <c r="L179" i="2"/>
  <c r="E179" i="2"/>
  <c r="N179" i="2"/>
  <c r="K162" i="2"/>
  <c r="I162" i="2"/>
  <c r="M162" i="2"/>
  <c r="T162" i="2"/>
  <c r="N162" i="2"/>
  <c r="Q162" i="2" a="1"/>
  <c r="Q162" i="2" s="1"/>
  <c r="M54" i="2"/>
  <c r="L54" i="2"/>
  <c r="I54" i="2"/>
  <c r="O54" i="2"/>
  <c r="C54" i="2"/>
  <c r="V54" i="2"/>
  <c r="N54" i="2"/>
  <c r="J54" i="2"/>
  <c r="M115" i="2"/>
  <c r="C115" i="2"/>
  <c r="L115" i="2"/>
  <c r="I115" i="2"/>
  <c r="J115" i="2"/>
  <c r="O115" i="2"/>
  <c r="K115" i="2"/>
  <c r="G115" i="2"/>
  <c r="D115" i="2"/>
  <c r="E115" i="2" s="1"/>
  <c r="Q115" i="2" a="1"/>
  <c r="Q115" i="2" s="1"/>
  <c r="N115" i="2"/>
  <c r="M180" i="2"/>
  <c r="F180" i="2"/>
  <c r="E180" i="2"/>
  <c r="J180" i="2"/>
  <c r="O180" i="2"/>
  <c r="K180" i="2"/>
  <c r="P180" i="2" a="1"/>
  <c r="P180" i="2" s="1"/>
  <c r="L180" i="2"/>
  <c r="N180" i="2"/>
  <c r="I180" i="2"/>
  <c r="N154" i="2"/>
  <c r="I154" i="2"/>
  <c r="L154" i="2"/>
  <c r="V154" i="2"/>
  <c r="U154" i="2"/>
  <c r="M154" i="2"/>
  <c r="T154" i="2"/>
  <c r="D154" i="2"/>
  <c r="E154" i="2" s="1"/>
  <c r="J154" i="2"/>
  <c r="M43" i="2"/>
  <c r="K43" i="2"/>
  <c r="L43" i="2"/>
  <c r="H43" i="2"/>
  <c r="P43" i="2" a="1"/>
  <c r="P43" i="2" s="1"/>
  <c r="O43" i="2"/>
  <c r="T43" i="2"/>
  <c r="R43" i="2" a="1"/>
  <c r="R43" i="2" s="1"/>
  <c r="Q43" i="2" a="1"/>
  <c r="Q43" i="2" s="1"/>
  <c r="J43" i="2"/>
  <c r="M111" i="2"/>
  <c r="K111" i="2"/>
  <c r="Q111" i="2" a="1"/>
  <c r="Q111" i="2" s="1"/>
  <c r="L111" i="2"/>
  <c r="D111" i="2"/>
  <c r="C111" i="2"/>
  <c r="E111" i="2"/>
  <c r="O111" i="2"/>
  <c r="F111" i="2"/>
  <c r="V111" i="2"/>
  <c r="I111" i="2"/>
  <c r="R111" i="2" a="1"/>
  <c r="R111" i="2" s="1"/>
  <c r="M45" i="2"/>
  <c r="L45" i="2"/>
  <c r="K45" i="2"/>
  <c r="J45" i="2"/>
  <c r="C45" i="2"/>
  <c r="I45" i="2"/>
  <c r="W45" i="2"/>
  <c r="O45" i="2"/>
  <c r="I16" i="2"/>
  <c r="N16" i="2"/>
  <c r="G16" i="2"/>
  <c r="R11" i="2" a="1"/>
  <c r="R11" i="2" s="1"/>
  <c r="Q16" i="2" a="1"/>
  <c r="Q16" i="2" s="1"/>
  <c r="G15" i="2"/>
  <c r="H15" i="2"/>
  <c r="P16" i="2" a="1"/>
  <c r="P16" i="2" s="1"/>
  <c r="E17" i="2"/>
  <c r="Q27" i="2" a="1"/>
  <c r="Q27" i="2" s="1"/>
  <c r="P51" i="2" a="1"/>
  <c r="P51" i="2" s="1"/>
  <c r="I22" i="2"/>
  <c r="N100" i="2"/>
  <c r="N146" i="2"/>
  <c r="E14" i="2"/>
  <c r="O12" i="2"/>
  <c r="N12" i="2"/>
  <c r="G12" i="2"/>
  <c r="R12" i="2" a="1"/>
  <c r="R12" i="2" s="1"/>
  <c r="I12" i="2"/>
  <c r="P12" i="2" a="1"/>
  <c r="P12" i="2" s="1"/>
  <c r="M12" i="2"/>
  <c r="U14" i="2"/>
  <c r="P14" i="2" a="1"/>
  <c r="P14" i="2" s="1"/>
  <c r="E11" i="2"/>
  <c r="R16" i="2" a="1"/>
  <c r="R16" i="2" s="1"/>
  <c r="P11" i="2" a="1"/>
  <c r="P11" i="2" s="1"/>
  <c r="F27" i="2"/>
  <c r="L138" i="2"/>
  <c r="L78" i="2"/>
  <c r="M112" i="2"/>
  <c r="U11" i="2"/>
  <c r="H16" i="2"/>
  <c r="O15" i="2"/>
  <c r="T15" i="2"/>
  <c r="Q15" i="2" a="1"/>
  <c r="Q15" i="2" s="1"/>
  <c r="I15" i="2"/>
  <c r="N15" i="2"/>
  <c r="T14" i="2"/>
  <c r="T16" i="2"/>
  <c r="G11" i="2"/>
  <c r="T12" i="2"/>
  <c r="J53" i="2"/>
  <c r="N43" i="2"/>
  <c r="N111" i="2"/>
  <c r="J136" i="2"/>
  <c r="I139" i="2"/>
  <c r="Q94" i="2" a="1"/>
  <c r="Q94" i="2" s="1"/>
  <c r="L200" i="2"/>
  <c r="L190" i="2"/>
  <c r="L10" i="2"/>
  <c r="I173" i="2"/>
  <c r="U42" i="2"/>
  <c r="J66" i="2"/>
  <c r="K67" i="2"/>
  <c r="J153" i="2"/>
  <c r="R136" i="2" a="1"/>
  <c r="R136" i="2" s="1"/>
  <c r="I42" i="2"/>
  <c r="I14" i="2"/>
  <c r="K68" i="2"/>
  <c r="E94" i="2"/>
  <c r="J197" i="2"/>
  <c r="J191" i="2"/>
  <c r="J55" i="2"/>
  <c r="C133" i="2"/>
  <c r="J175" i="2"/>
  <c r="P197" i="2" a="1"/>
  <c r="P197" i="2" s="1"/>
  <c r="M197" i="2"/>
  <c r="M66" i="2"/>
  <c r="N182" i="2"/>
  <c r="N55" i="2"/>
  <c r="N136" i="2"/>
  <c r="N200" i="2"/>
  <c r="N153" i="2"/>
  <c r="O28" i="2"/>
  <c r="R28" i="2" a="1"/>
  <c r="R28" i="2" s="1"/>
  <c r="F116" i="2"/>
  <c r="F173" i="2"/>
  <c r="F42" i="2"/>
  <c r="D65" i="2"/>
  <c r="E65" i="2" s="1"/>
  <c r="Q67" i="2" a="1"/>
  <c r="Q67" i="2" s="1"/>
  <c r="T67" i="2"/>
  <c r="W133" i="2"/>
  <c r="Q175" i="2" a="1"/>
  <c r="Q175" i="2" s="1"/>
  <c r="C191" i="2"/>
  <c r="F200" i="2"/>
  <c r="K190" i="2"/>
  <c r="I116" i="2"/>
  <c r="T55" i="2"/>
  <c r="W94" i="2"/>
  <c r="C190" i="2"/>
  <c r="K139" i="2"/>
  <c r="Q191" i="2" a="1"/>
  <c r="Q191" i="2" s="1"/>
  <c r="J67" i="2"/>
  <c r="K153" i="2"/>
  <c r="I57" i="2"/>
  <c r="I68" i="2"/>
  <c r="D197" i="2"/>
  <c r="L42" i="2"/>
  <c r="L65" i="2"/>
  <c r="M94" i="2"/>
  <c r="M182" i="2"/>
  <c r="M136" i="2"/>
  <c r="D133" i="2"/>
  <c r="E133" i="2" s="1"/>
  <c r="P190" i="2" a="1"/>
  <c r="P190" i="2" s="1"/>
  <c r="N67" i="2"/>
  <c r="N197" i="2"/>
  <c r="P94" i="2" a="1"/>
  <c r="P94" i="2" s="1"/>
  <c r="O190" i="2"/>
  <c r="O175" i="2"/>
  <c r="M11" i="2"/>
  <c r="V42" i="2"/>
  <c r="V10" i="2"/>
  <c r="L182" i="2"/>
  <c r="F191" i="2"/>
  <c r="I197" i="2"/>
  <c r="J139" i="2"/>
  <c r="F67" i="2"/>
  <c r="J173" i="2"/>
  <c r="C153" i="2"/>
  <c r="L57" i="2"/>
  <c r="K10" i="2"/>
  <c r="L28" i="2"/>
  <c r="K65" i="2"/>
  <c r="L116" i="2"/>
  <c r="M190" i="2"/>
  <c r="N139" i="2"/>
  <c r="V68" i="2"/>
  <c r="D200" i="2"/>
  <c r="N68" i="2"/>
  <c r="N14" i="2"/>
  <c r="O116" i="2"/>
  <c r="W153" i="2"/>
  <c r="O55" i="2"/>
  <c r="O57" i="2"/>
  <c r="M15" i="2"/>
  <c r="E190" i="2"/>
  <c r="P55" i="2" a="1"/>
  <c r="P55" i="2" s="1"/>
  <c r="J182" i="2"/>
  <c r="I182" i="2"/>
  <c r="L173" i="2"/>
  <c r="K57" i="2"/>
  <c r="K133" i="2"/>
  <c r="J10" i="2"/>
  <c r="K28" i="2"/>
  <c r="J65" i="2"/>
  <c r="K116" i="2"/>
  <c r="M153" i="2"/>
  <c r="Q200" i="2" a="1"/>
  <c r="Q200" i="2" s="1"/>
  <c r="N57" i="2"/>
  <c r="O200" i="2"/>
  <c r="O197" i="2"/>
  <c r="O191" i="2"/>
  <c r="O129" i="2"/>
  <c r="V94" i="2"/>
  <c r="T65" i="2"/>
  <c r="C116" i="2"/>
  <c r="T190" i="2"/>
  <c r="L128" i="2"/>
  <c r="T182" i="2"/>
  <c r="E173" i="2"/>
  <c r="J57" i="2"/>
  <c r="L94" i="2"/>
  <c r="C10" i="2"/>
  <c r="E10" i="2" s="1"/>
  <c r="J28" i="2"/>
  <c r="L55" i="2"/>
  <c r="J116" i="2"/>
  <c r="M139" i="2"/>
  <c r="M173" i="2"/>
  <c r="P136" i="2" a="1"/>
  <c r="P136" i="2" s="1"/>
  <c r="G190" i="2"/>
  <c r="N94" i="2"/>
  <c r="O67" i="2"/>
  <c r="O68" i="2"/>
  <c r="M17" i="2"/>
  <c r="U67" i="2"/>
  <c r="C57" i="2"/>
  <c r="J200" i="2"/>
  <c r="K128" i="2"/>
  <c r="K42" i="2"/>
  <c r="I94" i="2"/>
  <c r="W191" i="2"/>
  <c r="I175" i="2"/>
  <c r="P57" i="2" a="1"/>
  <c r="P57" i="2" s="1"/>
  <c r="K94" i="2"/>
  <c r="L191" i="2"/>
  <c r="I28" i="2"/>
  <c r="E116" i="2"/>
  <c r="J133" i="2"/>
  <c r="L175" i="2"/>
  <c r="G139" i="2"/>
  <c r="M175" i="2"/>
  <c r="M42" i="2"/>
  <c r="N28" i="2"/>
  <c r="W197" i="2"/>
  <c r="O139" i="2"/>
  <c r="M14" i="2"/>
  <c r="M152" i="2"/>
  <c r="O152" i="2"/>
  <c r="I130" i="2"/>
  <c r="O130" i="2"/>
  <c r="I104" i="2"/>
  <c r="O104" i="2"/>
  <c r="L106" i="2"/>
  <c r="O106" i="2"/>
  <c r="M47" i="2"/>
  <c r="D47" i="2"/>
  <c r="E47" i="2" s="1"/>
  <c r="F138" i="2"/>
  <c r="P138" i="2" a="1"/>
  <c r="P138" i="2" s="1"/>
  <c r="O138" i="2"/>
  <c r="I146" i="2"/>
  <c r="O146" i="2"/>
  <c r="C112" i="2"/>
  <c r="O112" i="2"/>
  <c r="M114" i="2"/>
  <c r="O114" i="2"/>
  <c r="N114" i="2"/>
  <c r="L162" i="2"/>
  <c r="O162" i="2"/>
  <c r="H154" i="2"/>
  <c r="O154" i="2"/>
  <c r="Q154" i="2" a="1"/>
  <c r="Q154" i="2" s="1"/>
  <c r="J40" i="2"/>
  <c r="O40" i="2"/>
  <c r="I166" i="2"/>
  <c r="Q166" i="2" a="1"/>
  <c r="Q166" i="2" s="1"/>
  <c r="M34" i="2"/>
  <c r="N34" i="2"/>
  <c r="O34" i="2"/>
  <c r="M58" i="2"/>
  <c r="O58" i="2"/>
  <c r="L186" i="2"/>
  <c r="N186" i="2"/>
  <c r="O186" i="2"/>
  <c r="T186" i="2"/>
  <c r="J176" i="2"/>
  <c r="O176" i="2"/>
  <c r="L122" i="2"/>
  <c r="O122" i="2"/>
  <c r="M55" i="2"/>
  <c r="F55" i="2"/>
  <c r="F94" i="2"/>
  <c r="C94" i="2"/>
  <c r="D42" i="2"/>
  <c r="O42" i="2"/>
  <c r="D128" i="2"/>
  <c r="I128" i="2" s="1"/>
  <c r="I190" i="2"/>
  <c r="R190" i="2" a="1"/>
  <c r="R190" i="2" s="1"/>
  <c r="U190" i="2"/>
  <c r="C136" i="2"/>
  <c r="O136" i="2"/>
  <c r="L66" i="2"/>
  <c r="O66" i="2"/>
  <c r="C181" i="2"/>
  <c r="U181" i="2"/>
  <c r="I160" i="2"/>
  <c r="O160" i="2"/>
  <c r="J56" i="2"/>
  <c r="O56" i="2"/>
  <c r="I18" i="2"/>
  <c r="O18" i="2"/>
  <c r="J64" i="2"/>
  <c r="O64" i="2"/>
  <c r="I168" i="2"/>
  <c r="O168" i="2"/>
  <c r="L82" i="2"/>
  <c r="O82" i="2"/>
  <c r="M16" i="2"/>
  <c r="O16" i="2"/>
  <c r="M26" i="2"/>
  <c r="U26" i="2"/>
  <c r="O26" i="2"/>
  <c r="M72" i="2"/>
  <c r="O72" i="2"/>
  <c r="R187" i="2" a="1"/>
  <c r="R187" i="2" s="1"/>
  <c r="J24" i="2"/>
  <c r="O24" i="2"/>
  <c r="I74" i="2"/>
  <c r="O74" i="2"/>
  <c r="I119" i="2"/>
  <c r="W119" i="2"/>
  <c r="F32" i="2"/>
  <c r="R32" i="2" a="1"/>
  <c r="R32" i="2" s="1"/>
  <c r="O32" i="2"/>
  <c r="J80" i="2"/>
  <c r="O80" i="2"/>
  <c r="J144" i="2"/>
  <c r="O144" i="2"/>
  <c r="F63" i="2"/>
  <c r="P63" i="2" a="1"/>
  <c r="P63" i="2" s="1"/>
  <c r="D124" i="2"/>
  <c r="M124" i="2" s="1"/>
  <c r="E194" i="2"/>
  <c r="O194" i="2"/>
  <c r="I96" i="2"/>
  <c r="O96" i="2"/>
  <c r="I90" i="2"/>
  <c r="O90" i="2"/>
  <c r="L98" i="2"/>
  <c r="N98" i="2"/>
  <c r="O98" i="2"/>
  <c r="D30" i="2"/>
  <c r="T30" i="2"/>
  <c r="U30" i="2"/>
  <c r="I88" i="2"/>
  <c r="O88" i="2"/>
  <c r="K8" i="2"/>
  <c r="L8" i="2"/>
  <c r="J8" i="2"/>
  <c r="J9" i="2"/>
  <c r="K9" i="2"/>
  <c r="L9" i="2"/>
  <c r="J3" i="2"/>
  <c r="K3" i="2"/>
  <c r="L3" i="2"/>
  <c r="J6" i="2"/>
  <c r="K6" i="2"/>
  <c r="L6" i="2"/>
  <c r="J4" i="2"/>
  <c r="K4" i="2"/>
  <c r="L4" i="2"/>
  <c r="L2" i="2"/>
  <c r="K2" i="2"/>
  <c r="J2" i="2"/>
  <c r="L5" i="2"/>
  <c r="J5" i="2"/>
  <c r="K5" i="2"/>
  <c r="J7" i="2"/>
  <c r="K7" i="2"/>
  <c r="L7" i="2"/>
  <c r="Z3" i="2"/>
  <c r="W3" i="2"/>
  <c r="Y3" i="2"/>
  <c r="X3" i="2"/>
  <c r="W6" i="2"/>
  <c r="X6" i="2"/>
  <c r="Z6" i="2"/>
  <c r="Y6" i="2"/>
  <c r="X5" i="2"/>
  <c r="Y5" i="2"/>
  <c r="Z5" i="2"/>
  <c r="W5" i="2"/>
  <c r="Y8" i="2"/>
  <c r="Z8" i="2"/>
  <c r="X8" i="2"/>
  <c r="W8" i="2"/>
  <c r="W9" i="2"/>
  <c r="X9" i="2"/>
  <c r="Y9" i="2"/>
  <c r="Z9" i="2"/>
  <c r="W4" i="2"/>
  <c r="X4" i="2"/>
  <c r="Y4" i="2"/>
  <c r="Z4" i="2"/>
  <c r="W7" i="2"/>
  <c r="X7" i="2"/>
  <c r="Y7" i="2"/>
  <c r="Z7" i="2"/>
  <c r="Z2" i="2"/>
  <c r="Y2" i="2"/>
  <c r="W2" i="2"/>
  <c r="X2" i="2"/>
  <c r="F2" i="2"/>
  <c r="C2" i="2"/>
  <c r="D2" i="2"/>
  <c r="D6" i="2"/>
  <c r="F6" i="2"/>
  <c r="C6" i="2"/>
  <c r="C3" i="2"/>
  <c r="F3" i="2"/>
  <c r="D3" i="2"/>
  <c r="F5" i="2"/>
  <c r="C5" i="2"/>
  <c r="D5" i="2"/>
  <c r="F7" i="2"/>
  <c r="C7" i="2"/>
  <c r="D7" i="2"/>
  <c r="C4" i="2"/>
  <c r="F4" i="2"/>
  <c r="D4" i="2"/>
  <c r="P4" i="2" s="1" a="1"/>
  <c r="P4" i="2" s="1"/>
  <c r="C8" i="2"/>
  <c r="F8" i="2"/>
  <c r="D8" i="2"/>
  <c r="D9" i="2"/>
  <c r="F9" i="2"/>
  <c r="C9" i="2"/>
  <c r="N13" i="2" l="1"/>
  <c r="R7" i="2" a="1"/>
  <c r="R7" i="2" s="1"/>
  <c r="O8" i="2"/>
  <c r="I13" i="2"/>
  <c r="M13" i="2"/>
  <c r="O13" i="2"/>
  <c r="P13" i="2" a="1"/>
  <c r="P13" i="2" s="1"/>
  <c r="E7" i="2"/>
  <c r="N65" i="2"/>
  <c r="O133" i="2"/>
  <c r="I133" i="2"/>
  <c r="R8" i="2" a="1"/>
  <c r="R8" i="2" s="1"/>
  <c r="G128" i="2"/>
  <c r="N128" i="2"/>
  <c r="G124" i="2"/>
  <c r="Q7" i="2" a="1"/>
  <c r="Q7" i="2" s="1"/>
  <c r="M65" i="2"/>
  <c r="P65" i="2" a="1"/>
  <c r="P65" i="2" s="1"/>
  <c r="N133" i="2"/>
  <c r="E128" i="2"/>
  <c r="R128" i="2" a="1"/>
  <c r="R128" i="2" s="1"/>
  <c r="M128" i="2"/>
  <c r="N124" i="2"/>
  <c r="O128" i="2"/>
  <c r="O65" i="2"/>
  <c r="O124" i="2"/>
  <c r="I124" i="2"/>
  <c r="U124" i="2"/>
  <c r="E30" i="2"/>
  <c r="H30" i="2"/>
  <c r="Q124" i="2" a="1"/>
  <c r="Q124" i="2" s="1"/>
  <c r="E124" i="2"/>
  <c r="P124" i="2" a="1"/>
  <c r="P124" i="2" s="1"/>
  <c r="R124" i="2" a="1"/>
  <c r="R124" i="2" s="1"/>
  <c r="T124" i="2"/>
  <c r="H124" i="2"/>
  <c r="P181" i="2" a="1"/>
  <c r="P181" i="2" s="1"/>
  <c r="T181" i="2"/>
  <c r="E181" i="2"/>
  <c r="Q181" i="2" a="1"/>
  <c r="Q181" i="2" s="1"/>
  <c r="R181" i="2" a="1"/>
  <c r="R181" i="2" s="1"/>
  <c r="I136" i="2"/>
  <c r="U136" i="2"/>
  <c r="H136" i="2"/>
  <c r="G136" i="2"/>
  <c r="Q136" i="2" a="1"/>
  <c r="Q136" i="2" s="1"/>
  <c r="T136" i="2"/>
  <c r="P128" i="2" a="1"/>
  <c r="P128" i="2" s="1"/>
  <c r="Q128" i="2" a="1"/>
  <c r="Q128" i="2" s="1"/>
  <c r="H128" i="2"/>
  <c r="U128" i="2"/>
  <c r="T128" i="2"/>
  <c r="R42" i="2" a="1"/>
  <c r="R42" i="2" s="1"/>
  <c r="E42" i="2"/>
  <c r="P42" i="2" a="1"/>
  <c r="P42" i="2" s="1"/>
  <c r="Q42" i="2" a="1"/>
  <c r="Q42" i="2" s="1"/>
  <c r="O94" i="2"/>
  <c r="T94" i="2"/>
  <c r="U94" i="2"/>
  <c r="H94" i="2"/>
  <c r="R94" i="2" a="1"/>
  <c r="R94" i="2" s="1"/>
  <c r="G94" i="2"/>
  <c r="T112" i="2"/>
  <c r="P112" i="2" a="1"/>
  <c r="P112" i="2" s="1"/>
  <c r="H112" i="2"/>
  <c r="E112" i="2"/>
  <c r="G112" i="2"/>
  <c r="U112" i="2"/>
  <c r="M57" i="2"/>
  <c r="E57" i="2"/>
  <c r="Q57" i="2" a="1"/>
  <c r="Q57" i="2" s="1"/>
  <c r="U57" i="2"/>
  <c r="G57" i="2"/>
  <c r="T57" i="2"/>
  <c r="R57" i="2" a="1"/>
  <c r="R57" i="2" s="1"/>
  <c r="H57" i="2"/>
  <c r="R116" i="2" a="1"/>
  <c r="R116" i="2" s="1"/>
  <c r="Q116" i="2" a="1"/>
  <c r="Q116" i="2" s="1"/>
  <c r="P116" i="2" a="1"/>
  <c r="P116" i="2" s="1"/>
  <c r="H116" i="2"/>
  <c r="G116" i="2"/>
  <c r="U116" i="2"/>
  <c r="T116" i="2"/>
  <c r="E200" i="2"/>
  <c r="T200" i="2"/>
  <c r="G200" i="2"/>
  <c r="P200" i="2" a="1"/>
  <c r="P200" i="2" s="1"/>
  <c r="U200" i="2"/>
  <c r="H200" i="2"/>
  <c r="R200" i="2" a="1"/>
  <c r="R200" i="2" s="1"/>
  <c r="U153" i="2"/>
  <c r="G153" i="2"/>
  <c r="T153" i="2"/>
  <c r="H153" i="2"/>
  <c r="P153" i="2" a="1"/>
  <c r="P153" i="2" s="1"/>
  <c r="E153" i="2"/>
  <c r="Q153" i="2" a="1"/>
  <c r="Q153" i="2" s="1"/>
  <c r="R197" i="2" a="1"/>
  <c r="R197" i="2" s="1"/>
  <c r="G197" i="2"/>
  <c r="U197" i="2"/>
  <c r="E197" i="2"/>
  <c r="Q197" i="2" a="1"/>
  <c r="Q197" i="2" s="1"/>
  <c r="T197" i="2"/>
  <c r="H197" i="2"/>
  <c r="P191" i="2" a="1"/>
  <c r="P191" i="2" s="1"/>
  <c r="U191" i="2"/>
  <c r="T191" i="2"/>
  <c r="U65" i="2"/>
  <c r="Q65" i="2" a="1"/>
  <c r="Q65" i="2" s="1"/>
  <c r="R65" i="2" a="1"/>
  <c r="R65" i="2" s="1"/>
  <c r="G65" i="2"/>
  <c r="M133" i="2"/>
  <c r="T133" i="2"/>
  <c r="P133" i="2" a="1"/>
  <c r="P133" i="2" s="1"/>
  <c r="R133" i="2" a="1"/>
  <c r="R133" i="2" s="1"/>
  <c r="U133" i="2"/>
  <c r="G133" i="2"/>
  <c r="Q133" i="2" a="1"/>
  <c r="Q133" i="2" s="1"/>
  <c r="H133" i="2"/>
  <c r="R45" i="2" a="1"/>
  <c r="R45" i="2" s="1"/>
  <c r="H45" i="2"/>
  <c r="E45" i="2"/>
  <c r="G45" i="2"/>
  <c r="U45" i="2"/>
  <c r="P45" i="2" a="1"/>
  <c r="P45" i="2" s="1"/>
  <c r="T45" i="2"/>
  <c r="P111" i="2" a="1"/>
  <c r="P111" i="2" s="1"/>
  <c r="G111" i="2"/>
  <c r="U111" i="2"/>
  <c r="T115" i="2"/>
  <c r="U115" i="2"/>
  <c r="R115" i="2" a="1"/>
  <c r="R115" i="2" s="1"/>
  <c r="P115" i="2" a="1"/>
  <c r="P115" i="2" s="1"/>
  <c r="H115" i="2"/>
  <c r="U54" i="2"/>
  <c r="P54" i="2" a="1"/>
  <c r="P54" i="2" s="1"/>
  <c r="G54" i="2"/>
  <c r="R54" i="2" a="1"/>
  <c r="R54" i="2" s="1"/>
  <c r="H54" i="2"/>
  <c r="T54" i="2"/>
  <c r="Q54" i="2" a="1"/>
  <c r="Q54" i="2" s="1"/>
  <c r="G179" i="2"/>
  <c r="U179" i="2"/>
  <c r="Q53" i="2" a="1"/>
  <c r="Q53" i="2" s="1"/>
  <c r="H53" i="2"/>
  <c r="G53" i="2"/>
  <c r="T53" i="2"/>
  <c r="R53" i="2" a="1"/>
  <c r="R53" i="2" s="1"/>
  <c r="U53" i="2"/>
  <c r="R120" i="2" a="1"/>
  <c r="R120" i="2" s="1"/>
  <c r="T120" i="2"/>
  <c r="H120" i="2"/>
  <c r="Q51" i="2" a="1"/>
  <c r="Q51" i="2" s="1"/>
  <c r="H51" i="2"/>
  <c r="T51" i="2"/>
  <c r="G22" i="2"/>
  <c r="U22" i="2"/>
  <c r="Q22" i="2" a="1"/>
  <c r="Q22" i="2" s="1"/>
  <c r="E22" i="2"/>
  <c r="H22" i="2"/>
  <c r="P22" i="2" a="1"/>
  <c r="P22" i="2" s="1"/>
  <c r="H100" i="2"/>
  <c r="P100" i="2" a="1"/>
  <c r="P100" i="2" s="1"/>
  <c r="G100" i="2"/>
  <c r="H27" i="2"/>
  <c r="E27" i="2"/>
  <c r="N181" i="2"/>
  <c r="M181" i="2"/>
  <c r="G181" i="2"/>
  <c r="H181" i="2"/>
  <c r="O181" i="2"/>
  <c r="I181" i="2"/>
  <c r="M116" i="2"/>
  <c r="N116" i="2"/>
  <c r="O153" i="2"/>
  <c r="I153" i="2"/>
  <c r="R153" i="2" a="1"/>
  <c r="R153" i="2" s="1"/>
  <c r="N190" i="2"/>
  <c r="H190" i="2"/>
  <c r="Q190" i="2" a="1"/>
  <c r="Q190" i="2" s="1"/>
  <c r="R191" i="2" a="1"/>
  <c r="R191" i="2" s="1"/>
  <c r="M191" i="2"/>
  <c r="N191" i="2"/>
  <c r="H191" i="2"/>
  <c r="I191" i="2"/>
  <c r="G191" i="2"/>
  <c r="I65" i="2"/>
  <c r="H65" i="2"/>
  <c r="N45" i="2"/>
  <c r="Q45" i="2" a="1"/>
  <c r="Q45" i="2" s="1"/>
  <c r="H111" i="2"/>
  <c r="T111" i="2"/>
  <c r="I2" i="2"/>
  <c r="O4" i="2"/>
  <c r="N10" i="2"/>
  <c r="Q3" i="2" a="1"/>
  <c r="Q3" i="2" s="1"/>
  <c r="O10" i="2"/>
  <c r="M10" i="2"/>
  <c r="U10" i="2"/>
  <c r="H10" i="2"/>
  <c r="R10" i="2" a="1"/>
  <c r="R10" i="2" s="1"/>
  <c r="G10" i="2"/>
  <c r="Q10" i="2" a="1"/>
  <c r="Q10" i="2" s="1"/>
  <c r="I10" i="2"/>
  <c r="P10" i="2" a="1"/>
  <c r="P10" i="2" s="1"/>
  <c r="T10" i="2"/>
  <c r="R13" i="2" a="1"/>
  <c r="R13" i="2" s="1"/>
  <c r="U13" i="2"/>
  <c r="G13" i="2"/>
  <c r="Q13" i="2" a="1"/>
  <c r="Q13" i="2" s="1"/>
  <c r="T13" i="2"/>
  <c r="H13" i="2"/>
  <c r="N9" i="2"/>
  <c r="N6" i="2"/>
  <c r="N7" i="2"/>
  <c r="N5" i="2"/>
  <c r="O6" i="2"/>
  <c r="O3" i="2"/>
  <c r="O2" i="2"/>
  <c r="N4" i="2"/>
  <c r="O9" i="2"/>
  <c r="O5" i="2"/>
  <c r="O7" i="2"/>
  <c r="N3" i="2"/>
  <c r="H8" i="2"/>
  <c r="N2" i="2"/>
  <c r="I9" i="2"/>
  <c r="N8" i="2"/>
  <c r="M7" i="2"/>
  <c r="M6" i="2"/>
  <c r="M8" i="2"/>
  <c r="G5" i="2"/>
  <c r="I7" i="2"/>
  <c r="M5" i="2"/>
  <c r="I4" i="2"/>
  <c r="M4" i="2"/>
  <c r="M3" i="2"/>
  <c r="I6" i="2"/>
  <c r="M2" i="2"/>
  <c r="U7" i="2"/>
  <c r="M9" i="2"/>
  <c r="I5" i="2"/>
  <c r="I8" i="2"/>
  <c r="V7" i="2"/>
  <c r="I3" i="2"/>
  <c r="Q8" i="2" a="1"/>
  <c r="Q8" i="2" s="1"/>
  <c r="G4" i="2"/>
  <c r="V8" i="2"/>
  <c r="G6" i="2"/>
  <c r="G8" i="2"/>
  <c r="T5" i="2"/>
  <c r="P8" i="2" a="1"/>
  <c r="P8" i="2" s="1"/>
  <c r="E8" i="2"/>
  <c r="H7" i="2"/>
  <c r="U8" i="2"/>
  <c r="R5" i="2" a="1"/>
  <c r="R5" i="2" s="1"/>
  <c r="H9" i="2"/>
  <c r="Q5" i="2" a="1"/>
  <c r="Q5" i="2" s="1"/>
  <c r="G2" i="2"/>
  <c r="P5" i="2" a="1"/>
  <c r="P5" i="2" s="1"/>
  <c r="V5" i="2"/>
  <c r="R2" i="2" a="1"/>
  <c r="R2" i="2" s="1"/>
  <c r="U4" i="2"/>
  <c r="T2" i="2"/>
  <c r="Q6" i="2" a="1"/>
  <c r="Q6" i="2" s="1"/>
  <c r="U6" i="2"/>
  <c r="H3" i="2"/>
  <c r="T6" i="2"/>
  <c r="V3" i="2"/>
  <c r="G7" i="2"/>
  <c r="G9" i="2"/>
  <c r="P2" i="2" a="1"/>
  <c r="P2" i="2" s="1"/>
  <c r="R4" i="2" a="1"/>
  <c r="R4" i="2" s="1"/>
  <c r="R9" i="2" a="1"/>
  <c r="R9" i="2" s="1"/>
  <c r="U9" i="2"/>
  <c r="R6" i="2" a="1"/>
  <c r="R6" i="2" s="1"/>
  <c r="G3" i="2"/>
  <c r="Q2" i="2" a="1"/>
  <c r="Q2" i="2" s="1"/>
  <c r="Q9" i="2" a="1"/>
  <c r="Q9" i="2" s="1"/>
  <c r="V9" i="2"/>
  <c r="H2" i="2"/>
  <c r="U2" i="2"/>
  <c r="E9" i="2"/>
  <c r="V2" i="2"/>
  <c r="P7" i="2" a="1"/>
  <c r="P7" i="2" s="1"/>
  <c r="T4" i="2"/>
  <c r="H4" i="2"/>
  <c r="P9" i="2" a="1"/>
  <c r="P9" i="2" s="1"/>
  <c r="T9" i="2"/>
  <c r="T8" i="2"/>
  <c r="H5" i="2"/>
  <c r="T3" i="2"/>
  <c r="U3" i="2"/>
  <c r="Q4" i="2" a="1"/>
  <c r="Q4" i="2" s="1"/>
  <c r="V4" i="2"/>
  <c r="T7" i="2"/>
  <c r="U5" i="2"/>
  <c r="H6" i="2"/>
  <c r="R3" i="2" a="1"/>
  <c r="R3" i="2" s="1"/>
  <c r="V6" i="2"/>
  <c r="P3" i="2" a="1"/>
  <c r="P3" i="2" s="1"/>
  <c r="P6" i="2" a="1"/>
  <c r="P6" i="2" s="1"/>
  <c r="E2" i="2"/>
  <c r="E4" i="2"/>
  <c r="E5" i="2"/>
  <c r="E3" i="2"/>
  <c r="E6" i="2"/>
</calcChain>
</file>

<file path=xl/sharedStrings.xml><?xml version="1.0" encoding="utf-8"?>
<sst xmlns="http://schemas.openxmlformats.org/spreadsheetml/2006/main" count="73" uniqueCount="73">
  <si>
    <t>index</t>
  </si>
  <si>
    <t>name</t>
  </si>
  <si>
    <t>longitude</t>
  </si>
  <si>
    <t>latitude</t>
  </si>
  <si>
    <t>elevation</t>
  </si>
  <si>
    <t>collection start</t>
  </si>
  <si>
    <t>collection end</t>
  </si>
  <si>
    <t>solution status</t>
  </si>
  <si>
    <t>lateral rms</t>
  </si>
  <si>
    <t>sample count</t>
  </si>
  <si>
    <t>antenna height</t>
  </si>
  <si>
    <t>ratio</t>
  </si>
  <si>
    <t>age(s)</t>
  </si>
  <si>
    <t>sdun(m)</t>
  </si>
  <si>
    <t>sdeu(m)</t>
  </si>
  <si>
    <t>sdne(m)</t>
  </si>
  <si>
    <t>sdu(m)</t>
  </si>
  <si>
    <t>sde(m)</t>
  </si>
  <si>
    <t>sdn(m)</t>
  </si>
  <si>
    <t>ns</t>
  </si>
  <si>
    <t>Q</t>
  </si>
  <si>
    <t>height(m)</t>
  </si>
  <si>
    <t>longitude(deg)</t>
  </si>
  <si>
    <t>latitude(deg)</t>
  </si>
  <si>
    <t>GPST</t>
  </si>
  <si>
    <t># of Rover Stations</t>
  </si>
  <si>
    <t># of POS Observations</t>
  </si>
  <si>
    <t>Start of POS Observations</t>
  </si>
  <si>
    <t>End of POS Observations</t>
  </si>
  <si>
    <t>Min Acceptable Position Quality</t>
  </si>
  <si>
    <t>Q Distribution</t>
  </si>
  <si>
    <t>1:fix</t>
  </si>
  <si>
    <t>2:float</t>
  </si>
  <si>
    <t>3:sbas</t>
  </si>
  <si>
    <t>4:dgps</t>
  </si>
  <si>
    <t>5:single</t>
  </si>
  <si>
    <t>6:ppp</t>
  </si>
  <si>
    <t>Best</t>
  </si>
  <si>
    <t>OK</t>
  </si>
  <si>
    <t>Point_Name</t>
  </si>
  <si>
    <t>Obs_Start</t>
  </si>
  <si>
    <t>Obs_End</t>
  </si>
  <si>
    <t>Num_Obs</t>
  </si>
  <si>
    <t>Observation start/end padding (secs)</t>
  </si>
  <si>
    <t>Lat_Corr</t>
  </si>
  <si>
    <t>Elev_Corr</t>
  </si>
  <si>
    <t>Max # of Rover Stations</t>
  </si>
  <si>
    <t>Corr_Obs</t>
  </si>
  <si>
    <t>Lon_Corr</t>
  </si>
  <si>
    <t>Lat_Orig</t>
  </si>
  <si>
    <t>Lon_Orig</t>
  </si>
  <si>
    <t>Elev_Orig</t>
  </si>
  <si>
    <t>Rod_Ht_m</t>
  </si>
  <si>
    <t>ObsDurSecs</t>
  </si>
  <si>
    <t>LatCorSDN</t>
  </si>
  <si>
    <t>LonCorSDE</t>
  </si>
  <si>
    <t>EleCorSDU</t>
  </si>
  <si>
    <t>LatCorStDev</t>
  </si>
  <si>
    <t>LonCorStDev</t>
  </si>
  <si>
    <t>EleCorStDev</t>
  </si>
  <si>
    <t>Cor_Q1_Obs</t>
  </si>
  <si>
    <t>Cor_Q2_Obs</t>
  </si>
  <si>
    <t>Cor_Q3_Obs</t>
  </si>
  <si>
    <t>Cor_Q4_Obs</t>
  </si>
  <si>
    <t>Cor_Q5_Obs</t>
  </si>
  <si>
    <t>Cor_Q6_Obs</t>
  </si>
  <si>
    <t>DO NOT CHANGE ANYTHING IN THIS BOX</t>
  </si>
  <si>
    <t>User can change this value to determine which Q values will be included in rover position corrections.  1=only fix positions; 2=fix and float positions; etc.</t>
  </si>
  <si>
    <t>User can change this value to throw out the first x seconds of observations at each rover station.  This provides an opportunity to get rid of shaky positions at the start and end of an observation.</t>
  </si>
  <si>
    <t xml:space="preserve">© 2019 Toby Dogwiler.  MIT License terms.  </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</si>
  <si>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  The above copyright notice and this permission notice shall be included in all copies or substantial portions of the Software. 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</si>
  <si>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A copy of this spreadsheet may dowloaded at:</t>
  </si>
  <si>
    <t xml:space="preserve">https://github.com/Pholeos8813/GPSProcessing/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</si>
</sst>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mm/dd/yy\ hh:mm:ss\.ss"/>
    <numFmt numFmtId="165" formatCode="0.000"/>
    <numFmt numFmtId="166" formatCode="0.0000"/>
    <numFmt numFmtId="167" formatCode="0.00000"/>
    <numFmt numFmtId="168" formatCode="0.00000E+00"/>
  </numFmts>
  <fonts count="8" x14ac:knownFonts="1">
    <font>
      <sz val="11"/>
      <color theme="1"/>
      <name val="Calibri"/>
      <family val="2"/>
      <scheme val="minor"/>
    </font>
    <font>
      <b/>
      <sz val="11"/>
      <color theme="1"/>
      <name val="Calibri"/>
      <family val="2"/>
      <scheme val="minor"/>
    </font>
    <font>
      <sz val="8"/>
      <name val="Calibri"/>
      <family val="2"/>
      <scheme val="minor"/>
    </font>
    <font>
      <b/>
      <sz val="12"/>
      <color rgb="FFFF0000"/>
      <name val="Calibri"/>
      <family val="2"/>
      <scheme val="minor"/>
    </font>
    <font>
      <b/>
      <i/>
      <sz val="11"/>
      <color theme="1"/>
      <name val="Calibri"/>
      <family val="2"/>
      <scheme val="minor"/>
    </font>
    <font>
      <b/>
      <sz val="22"/>
      <color theme="1"/>
      <name val="Calibri"/>
      <family val="2"/>
      <scheme val="minor"/>
    </font>
    <font>
      <b/>
      <sz val="12"/>
      <color theme="1"/>
      <name val="Calibri"/>
      <family val="2"/>
      <scheme val="minor"/>
    </font>
    <font>
      <u/>
      <sz val="11"/>
      <color theme="10"/>
      <name val="Calibri"/>
      <family val="2"/>
      <scheme val="minor"/>
    </font>
  </fonts>
  <fills count="4">
    <fill>
      <patternFill patternType="none"/>
    </fill>
    <fill>
      <patternFill patternType="gray125"/>
    </fill>
    <fill>
      <patternFill patternType="solid">
        <fgColor rgb="FFFFFF00"/>
        <bgColor indexed="64"/>
      </patternFill>
    </fill>
    <fill>
      <patternFill patternType="solid">
        <fgColor theme="5" tint="0.79998168889431442"/>
        <bgColor indexed="64"/>
      </patternFill>
    </fill>
  </fills>
  <borders count="14">
    <border>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s>
  <cellStyleXfs count="2">
    <xf numFmtId="0" fontId="0" fillId="0" borderId="0"/>
    <xf numFmtId="0" fontId="7" fillId="0" borderId="0" applyNumberFormat="0" applyFill="0" applyBorder="0" applyAlignment="0" applyProtection="0"/>
  </cellStyleXfs>
  <cellXfs count="41">
    <xf numFmtId="0" fontId="0" fillId="0" borderId="0" xfId="0"/>
    <xf numFmtId="0" fontId="1" fillId="0" borderId="0" xfId="0" applyFont="1"/>
    <xf numFmtId="0" fontId="1" fillId="0" borderId="0" xfId="0" applyFont="1" applyAlignment="1">
      <alignment horizontal="center" vertical="center"/>
    </xf>
    <xf numFmtId="0" fontId="1" fillId="3" borderId="4" xfId="0" applyFont="1" applyFill="1" applyBorder="1"/>
    <xf numFmtId="0" fontId="1" fillId="3" borderId="5" xfId="0" applyFont="1" applyFill="1" applyBorder="1"/>
    <xf numFmtId="0" fontId="1" fillId="3" borderId="6" xfId="0" applyFont="1" applyFill="1" applyBorder="1"/>
    <xf numFmtId="0" fontId="1" fillId="3" borderId="0" xfId="0" applyFont="1" applyFill="1" applyBorder="1"/>
    <xf numFmtId="0" fontId="1" fillId="3" borderId="0" xfId="0" applyFont="1" applyFill="1" applyBorder="1" applyAlignment="1">
      <alignment horizontal="center" vertical="center"/>
    </xf>
    <xf numFmtId="0" fontId="1" fillId="3" borderId="7" xfId="0" applyFont="1" applyFill="1" applyBorder="1"/>
    <xf numFmtId="0" fontId="1" fillId="3" borderId="9" xfId="0" applyFont="1" applyFill="1" applyBorder="1"/>
    <xf numFmtId="0" fontId="1" fillId="3" borderId="9" xfId="0" applyFont="1" applyFill="1" applyBorder="1" applyAlignment="1">
      <alignment horizontal="center" vertical="center"/>
    </xf>
    <xf numFmtId="0" fontId="1" fillId="3" borderId="10" xfId="0" applyFont="1" applyFill="1" applyBorder="1"/>
    <xf numFmtId="0" fontId="1" fillId="3" borderId="3" xfId="0" applyFont="1" applyFill="1" applyBorder="1" applyAlignment="1">
      <alignment horizontal="right"/>
    </xf>
    <xf numFmtId="0" fontId="1" fillId="3" borderId="6" xfId="0" applyFont="1" applyFill="1" applyBorder="1" applyAlignment="1">
      <alignment horizontal="right"/>
    </xf>
    <xf numFmtId="0" fontId="1" fillId="3" borderId="11" xfId="0" applyFont="1" applyFill="1" applyBorder="1" applyAlignment="1">
      <alignment horizontal="left"/>
    </xf>
    <xf numFmtId="164" fontId="1" fillId="3" borderId="11" xfId="0" applyNumberFormat="1" applyFont="1" applyFill="1" applyBorder="1" applyAlignment="1">
      <alignment horizontal="left"/>
    </xf>
    <xf numFmtId="0" fontId="1" fillId="3" borderId="12" xfId="0" applyFont="1" applyFill="1" applyBorder="1" applyAlignment="1">
      <alignment horizontal="left"/>
    </xf>
    <xf numFmtId="0" fontId="1" fillId="3" borderId="13" xfId="0" applyFont="1" applyFill="1" applyBorder="1" applyAlignment="1">
      <alignment horizontal="center" vertical="center"/>
    </xf>
    <xf numFmtId="0" fontId="5" fillId="0" borderId="1" xfId="0" applyFont="1" applyBorder="1" applyAlignment="1">
      <alignment horizontal="center" vertical="center"/>
    </xf>
    <xf numFmtId="0" fontId="5" fillId="0" borderId="2" xfId="0" applyFont="1" applyBorder="1" applyAlignment="1">
      <alignment horizontal="center" vertical="center"/>
    </xf>
    <xf numFmtId="0" fontId="6" fillId="0" borderId="0" xfId="0" applyFont="1" applyAlignment="1">
      <alignment horizontal="center" vertical="center" wrapText="1"/>
    </xf>
    <xf numFmtId="0" fontId="0" fillId="0" borderId="0" xfId="0" applyFont="1"/>
    <xf numFmtId="49" fontId="0" fillId="0" borderId="0" xfId="0" applyNumberFormat="1" applyFont="1"/>
    <xf numFmtId="164" fontId="0" fillId="0" borderId="0" xfId="0" applyNumberFormat="1" applyFont="1"/>
    <xf numFmtId="167" fontId="0" fillId="0" borderId="0" xfId="0" applyNumberFormat="1" applyFont="1"/>
    <xf numFmtId="164" fontId="0" fillId="2" borderId="0" xfId="0" applyNumberFormat="1" applyFont="1" applyFill="1"/>
    <xf numFmtId="0" fontId="0" fillId="0" borderId="0" xfId="0" applyFont="1" applyAlignment="1">
      <alignment horizontal="center" vertical="center"/>
    </xf>
    <xf numFmtId="0" fontId="0" fillId="0" borderId="0" xfId="0" quotePrefix="1" applyNumberFormat="1" applyFont="1" applyAlignment="1">
      <alignment horizontal="center" vertical="center"/>
    </xf>
    <xf numFmtId="164" fontId="0" fillId="0" borderId="0" xfId="0" applyNumberFormat="1" applyFont="1" applyAlignment="1">
      <alignment horizontal="center" vertical="center"/>
    </xf>
    <xf numFmtId="1" fontId="0" fillId="0" borderId="0" xfId="0" applyNumberFormat="1" applyFont="1" applyAlignment="1">
      <alignment horizontal="center" vertical="center"/>
    </xf>
    <xf numFmtId="165" fontId="0" fillId="0" borderId="0" xfId="0" applyNumberFormat="1" applyFont="1" applyAlignment="1">
      <alignment horizontal="center" vertical="center"/>
    </xf>
    <xf numFmtId="166" fontId="0" fillId="0" borderId="0" xfId="0" applyNumberFormat="1" applyFont="1" applyAlignment="1">
      <alignment horizontal="center" vertical="center"/>
    </xf>
    <xf numFmtId="168" fontId="0" fillId="0" borderId="0" xfId="0" applyNumberFormat="1" applyFont="1" applyAlignment="1">
      <alignment horizontal="center" vertical="center"/>
    </xf>
    <xf numFmtId="0" fontId="6" fillId="0" borderId="0" xfId="0" applyFont="1" applyAlignment="1">
      <alignment horizontal="center" vertical="center"/>
    </xf>
    <xf numFmtId="0" fontId="3" fillId="3" borderId="8" xfId="0" applyFont="1" applyFill="1" applyBorder="1" applyAlignment="1">
      <alignment horizontal="center"/>
    </xf>
    <xf numFmtId="0" fontId="3" fillId="3" borderId="9" xfId="0" applyFont="1" applyFill="1" applyBorder="1" applyAlignment="1">
      <alignment horizontal="center"/>
    </xf>
    <xf numFmtId="0" fontId="4" fillId="0" borderId="6" xfId="0" applyFont="1" applyBorder="1" applyAlignment="1">
      <alignment horizontal="left" vertical="center" wrapText="1"/>
    </xf>
    <xf numFmtId="0" fontId="4" fillId="0" borderId="0" xfId="0" applyFont="1" applyAlignment="1">
      <alignment horizontal="left" vertical="center" wrapText="1"/>
    </xf>
    <xf numFmtId="0" fontId="0" fillId="0" borderId="0" xfId="0" applyAlignment="1">
      <alignment vertical="center" wrapText="1"/>
    </xf>
    <xf numFmtId="0" fontId="0" fillId="0" borderId="0" xfId="0" applyAlignment="1">
      <alignment horizontal="left" vertical="top" wrapText="1"/>
    </xf>
    <xf numFmtId="0" fontId="7" fillId="0" borderId="0" xfId="1" applyAlignment="1">
      <alignment horizontal="center" vertical="center"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hyperlink" Target="https://github.com/Pholeos8813/GPSProcessin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214-FC86-4B2B-93CC-68ED4651A9EE}">
  <dimension ref="A1:M522"/>
  <sheetViews>
    <sheetView workbookViewId="0">
      <selection activeCell="A2" sqref="A2"/>
    </sheetView>
  </sheetViews>
  <sheetFormatPr defaultColWidth="8.85546875" defaultRowHeight="15" x14ac:dyDescent="0.25"/>
  <cols>
    <col min="1" max="2" width="6" style="21" bestFit="1" customWidth="1"/>
    <col min="3" max="3" width="15.7109375" style="21" customWidth="1"/>
    <col min="4" max="4" width="14" style="21" customWidth="1"/>
    <col min="5" max="5" width="13.140625" style="21" customWidth="1"/>
    <col min="6" max="6" width="26" style="21" customWidth="1"/>
    <col min="7" max="7" width="27" style="21" customWidth="1"/>
    <col min="8" max="8" width="14.140625" style="21" bestFit="1" customWidth="1"/>
    <col min="9" max="9" width="10.42578125" style="21" bestFit="1" customWidth="1"/>
    <col min="10" max="10" width="12.85546875" style="21" bestFit="1" customWidth="1"/>
    <col min="11" max="11" width="14.5703125" style="21" bestFit="1" customWidth="1"/>
    <col min="12" max="12" width="8.85546875" style="21"/>
    <col min="13" max="13" width="19.140625" style="21" bestFit="1" customWidth="1"/>
    <col min="14" max="14" width="12" style="21" bestFit="1" customWidth="1"/>
    <col min="15" max="16384" width="8.85546875" style="21"/>
  </cols>
  <sheetData>
    <row r="1" spans="1:13" s="1" customFormat="1" x14ac:dyDescent="0.25">
      <c r="A1" s="1" t="s">
        <v>0</v>
      </c>
      <c r="B1" s="1" t="s">
        <v>1</v>
      </c>
      <c r="C1" s="1" t="s">
        <v>2</v>
      </c>
      <c r="D1" s="1" t="s">
        <v>3</v>
      </c>
      <c r="E1" s="1" t="s">
        <v>4</v>
      </c>
      <c r="F1" s="1" t="s">
        <v>5</v>
      </c>
      <c r="G1" s="1" t="s">
        <v>6</v>
      </c>
      <c r="H1" s="1" t="s">
        <v>7</v>
      </c>
      <c r="I1" s="1" t="s">
        <v>8</v>
      </c>
      <c r="J1" s="1" t="s">
        <v>9</v>
      </c>
      <c r="K1" s="1" t="s">
        <v>10</v>
      </c>
    </row>
    <row r="2" spans="1:13" x14ac:dyDescent="0.25">
      <c r="B2" s="22"/>
      <c r="M2" s="23"/>
    </row>
    <row r="3" spans="1:13" x14ac:dyDescent="0.25">
      <c r="B3" s="22"/>
    </row>
    <row r="4" spans="1:13" x14ac:dyDescent="0.25">
      <c r="B4" s="22"/>
    </row>
    <row r="5" spans="1:13" x14ac:dyDescent="0.25">
      <c r="B5" s="22"/>
    </row>
    <row r="6" spans="1:13" x14ac:dyDescent="0.25">
      <c r="B6" s="22"/>
    </row>
    <row r="7" spans="1:13" x14ac:dyDescent="0.25">
      <c r="B7" s="22"/>
    </row>
    <row r="8" spans="1:13" x14ac:dyDescent="0.25">
      <c r="B8" s="22"/>
    </row>
    <row r="9" spans="1:13" x14ac:dyDescent="0.25">
      <c r="B9" s="22"/>
    </row>
    <row r="10" spans="1:13" x14ac:dyDescent="0.25">
      <c r="B10" s="22"/>
    </row>
    <row r="11" spans="1:13" x14ac:dyDescent="0.25">
      <c r="B11" s="22"/>
    </row>
    <row r="12" spans="1:13" x14ac:dyDescent="0.25">
      <c r="B12" s="22"/>
    </row>
    <row r="13" spans="1:13" x14ac:dyDescent="0.25">
      <c r="B13" s="22"/>
    </row>
    <row r="14" spans="1:13" x14ac:dyDescent="0.25">
      <c r="B14" s="22"/>
    </row>
    <row r="15" spans="1:13" x14ac:dyDescent="0.25">
      <c r="B15" s="22"/>
    </row>
    <row r="16" spans="1:13" x14ac:dyDescent="0.25">
      <c r="B16" s="22"/>
    </row>
    <row r="17" spans="2:2" x14ac:dyDescent="0.25">
      <c r="B17" s="22"/>
    </row>
    <row r="18" spans="2:2" x14ac:dyDescent="0.25">
      <c r="B18" s="22"/>
    </row>
    <row r="19" spans="2:2" x14ac:dyDescent="0.25">
      <c r="B19" s="22"/>
    </row>
    <row r="20" spans="2:2" x14ac:dyDescent="0.25">
      <c r="B20" s="22"/>
    </row>
    <row r="21" spans="2:2" x14ac:dyDescent="0.25">
      <c r="B21" s="22"/>
    </row>
    <row r="22" spans="2:2" x14ac:dyDescent="0.25">
      <c r="B22" s="22"/>
    </row>
    <row r="23" spans="2:2" x14ac:dyDescent="0.25">
      <c r="B23" s="22"/>
    </row>
    <row r="24" spans="2:2" x14ac:dyDescent="0.25">
      <c r="B24" s="22"/>
    </row>
    <row r="25" spans="2:2" x14ac:dyDescent="0.25">
      <c r="B25" s="22"/>
    </row>
    <row r="26" spans="2:2" x14ac:dyDescent="0.25">
      <c r="B26" s="22"/>
    </row>
    <row r="27" spans="2:2" x14ac:dyDescent="0.25">
      <c r="B27" s="22"/>
    </row>
    <row r="28" spans="2:2" x14ac:dyDescent="0.25">
      <c r="B28" s="22"/>
    </row>
    <row r="29" spans="2:2" x14ac:dyDescent="0.25">
      <c r="B29" s="22"/>
    </row>
    <row r="30" spans="2:2" x14ac:dyDescent="0.25">
      <c r="B30" s="22"/>
    </row>
    <row r="31" spans="2:2" x14ac:dyDescent="0.25">
      <c r="B31" s="22"/>
    </row>
    <row r="32" spans="2:2" x14ac:dyDescent="0.25">
      <c r="B32" s="22"/>
    </row>
    <row r="33" spans="2:2" x14ac:dyDescent="0.25">
      <c r="B33" s="22"/>
    </row>
    <row r="34" spans="2:2" x14ac:dyDescent="0.25">
      <c r="B34" s="22"/>
    </row>
    <row r="35" spans="2:2" x14ac:dyDescent="0.25">
      <c r="B35" s="22"/>
    </row>
    <row r="36" spans="2:2" x14ac:dyDescent="0.25">
      <c r="B36" s="22"/>
    </row>
    <row r="37" spans="2:2" x14ac:dyDescent="0.25">
      <c r="B37" s="22"/>
    </row>
    <row r="38" spans="2:2" x14ac:dyDescent="0.25">
      <c r="B38" s="22"/>
    </row>
    <row r="39" spans="2:2" x14ac:dyDescent="0.25">
      <c r="B39" s="22"/>
    </row>
    <row r="40" spans="2:2" x14ac:dyDescent="0.25">
      <c r="B40" s="22"/>
    </row>
    <row r="41" spans="2:2" x14ac:dyDescent="0.25">
      <c r="B41" s="22"/>
    </row>
    <row r="42" spans="2:2" x14ac:dyDescent="0.25">
      <c r="B42" s="22"/>
    </row>
    <row r="43" spans="2:2" x14ac:dyDescent="0.25">
      <c r="B43" s="22"/>
    </row>
    <row r="44" spans="2:2" x14ac:dyDescent="0.25">
      <c r="B44" s="22"/>
    </row>
    <row r="45" spans="2:2" x14ac:dyDescent="0.25">
      <c r="B45" s="22"/>
    </row>
    <row r="46" spans="2:2" x14ac:dyDescent="0.25">
      <c r="B46" s="22"/>
    </row>
    <row r="47" spans="2:2" x14ac:dyDescent="0.25">
      <c r="B47" s="22"/>
    </row>
    <row r="48" spans="2:2" x14ac:dyDescent="0.25">
      <c r="B48" s="22"/>
    </row>
    <row r="49" spans="2:2" x14ac:dyDescent="0.25">
      <c r="B49" s="22"/>
    </row>
    <row r="50" spans="2:2" x14ac:dyDescent="0.25">
      <c r="B50" s="22"/>
    </row>
    <row r="51" spans="2:2" x14ac:dyDescent="0.25">
      <c r="B51" s="22"/>
    </row>
    <row r="52" spans="2:2" x14ac:dyDescent="0.25">
      <c r="B52" s="22"/>
    </row>
    <row r="53" spans="2:2" x14ac:dyDescent="0.25">
      <c r="B53" s="22"/>
    </row>
    <row r="54" spans="2:2" x14ac:dyDescent="0.25">
      <c r="B54" s="22"/>
    </row>
    <row r="55" spans="2:2" x14ac:dyDescent="0.25">
      <c r="B55" s="22"/>
    </row>
    <row r="56" spans="2:2" x14ac:dyDescent="0.25">
      <c r="B56" s="22"/>
    </row>
    <row r="57" spans="2:2" x14ac:dyDescent="0.25">
      <c r="B57" s="22"/>
    </row>
    <row r="58" spans="2:2" x14ac:dyDescent="0.25">
      <c r="B58" s="22"/>
    </row>
    <row r="59" spans="2:2" x14ac:dyDescent="0.25">
      <c r="B59" s="22"/>
    </row>
    <row r="60" spans="2:2" x14ac:dyDescent="0.25">
      <c r="B60" s="22"/>
    </row>
    <row r="61" spans="2:2" x14ac:dyDescent="0.25">
      <c r="B61" s="22"/>
    </row>
    <row r="62" spans="2:2" x14ac:dyDescent="0.25">
      <c r="B62" s="22"/>
    </row>
    <row r="63" spans="2:2" x14ac:dyDescent="0.25">
      <c r="B63" s="22"/>
    </row>
    <row r="64" spans="2:2" x14ac:dyDescent="0.25">
      <c r="B64" s="22"/>
    </row>
    <row r="65" spans="2:2" x14ac:dyDescent="0.25">
      <c r="B65" s="22"/>
    </row>
    <row r="66" spans="2:2" x14ac:dyDescent="0.25">
      <c r="B66" s="22"/>
    </row>
    <row r="67" spans="2:2" x14ac:dyDescent="0.25">
      <c r="B67" s="22"/>
    </row>
    <row r="68" spans="2:2" x14ac:dyDescent="0.25">
      <c r="B68" s="22"/>
    </row>
    <row r="69" spans="2:2" x14ac:dyDescent="0.25">
      <c r="B69" s="22"/>
    </row>
    <row r="70" spans="2:2" x14ac:dyDescent="0.25">
      <c r="B70" s="22"/>
    </row>
    <row r="71" spans="2:2" x14ac:dyDescent="0.25">
      <c r="B71" s="22"/>
    </row>
    <row r="72" spans="2:2" x14ac:dyDescent="0.25">
      <c r="B72" s="22"/>
    </row>
    <row r="73" spans="2:2" x14ac:dyDescent="0.25">
      <c r="B73" s="22"/>
    </row>
    <row r="74" spans="2:2" x14ac:dyDescent="0.25">
      <c r="B74" s="22"/>
    </row>
    <row r="75" spans="2:2" x14ac:dyDescent="0.25">
      <c r="B75" s="22"/>
    </row>
    <row r="76" spans="2:2" x14ac:dyDescent="0.25">
      <c r="B76" s="22"/>
    </row>
    <row r="77" spans="2:2" x14ac:dyDescent="0.25">
      <c r="B77" s="22"/>
    </row>
    <row r="78" spans="2:2" x14ac:dyDescent="0.25">
      <c r="B78" s="22"/>
    </row>
    <row r="79" spans="2:2" x14ac:dyDescent="0.25">
      <c r="B79" s="22"/>
    </row>
    <row r="80" spans="2:2" x14ac:dyDescent="0.25">
      <c r="B80" s="22"/>
    </row>
    <row r="81" spans="2:2" x14ac:dyDescent="0.25">
      <c r="B81" s="22"/>
    </row>
    <row r="82" spans="2:2" x14ac:dyDescent="0.25">
      <c r="B82" s="22"/>
    </row>
    <row r="83" spans="2:2" x14ac:dyDescent="0.25">
      <c r="B83" s="22"/>
    </row>
    <row r="84" spans="2:2" x14ac:dyDescent="0.25">
      <c r="B84" s="22"/>
    </row>
    <row r="85" spans="2:2" x14ac:dyDescent="0.25">
      <c r="B85" s="22"/>
    </row>
    <row r="86" spans="2:2" x14ac:dyDescent="0.25">
      <c r="B86" s="22"/>
    </row>
    <row r="87" spans="2:2" x14ac:dyDescent="0.25">
      <c r="B87" s="22"/>
    </row>
    <row r="88" spans="2:2" x14ac:dyDescent="0.25">
      <c r="B88" s="22"/>
    </row>
    <row r="89" spans="2:2" x14ac:dyDescent="0.25">
      <c r="B89" s="22"/>
    </row>
    <row r="90" spans="2:2" x14ac:dyDescent="0.25">
      <c r="B90" s="22"/>
    </row>
    <row r="91" spans="2:2" x14ac:dyDescent="0.25">
      <c r="B91" s="22"/>
    </row>
    <row r="92" spans="2:2" x14ac:dyDescent="0.25">
      <c r="B92" s="22"/>
    </row>
    <row r="93" spans="2:2" x14ac:dyDescent="0.25">
      <c r="B93" s="22"/>
    </row>
    <row r="94" spans="2:2" x14ac:dyDescent="0.25">
      <c r="B94" s="22"/>
    </row>
    <row r="95" spans="2:2" x14ac:dyDescent="0.25">
      <c r="B95" s="22"/>
    </row>
    <row r="96" spans="2:2" x14ac:dyDescent="0.25">
      <c r="B96" s="22"/>
    </row>
    <row r="97" spans="2:2" x14ac:dyDescent="0.25">
      <c r="B97" s="22"/>
    </row>
    <row r="98" spans="2:2" x14ac:dyDescent="0.25">
      <c r="B98" s="22"/>
    </row>
    <row r="99" spans="2:2" x14ac:dyDescent="0.25">
      <c r="B99" s="22"/>
    </row>
    <row r="100" spans="2:2" x14ac:dyDescent="0.25">
      <c r="B100" s="22"/>
    </row>
    <row r="101" spans="2:2" x14ac:dyDescent="0.25">
      <c r="B101" s="22"/>
    </row>
    <row r="102" spans="2:2" x14ac:dyDescent="0.25">
      <c r="B102" s="22"/>
    </row>
    <row r="103" spans="2:2" x14ac:dyDescent="0.25">
      <c r="B103" s="22"/>
    </row>
    <row r="104" spans="2:2" x14ac:dyDescent="0.25">
      <c r="B104" s="22"/>
    </row>
    <row r="105" spans="2:2" x14ac:dyDescent="0.25">
      <c r="B105" s="22"/>
    </row>
    <row r="106" spans="2:2" x14ac:dyDescent="0.25">
      <c r="B106" s="22"/>
    </row>
    <row r="107" spans="2:2" x14ac:dyDescent="0.25">
      <c r="B107" s="22"/>
    </row>
    <row r="108" spans="2:2" x14ac:dyDescent="0.25">
      <c r="B108" s="22"/>
    </row>
    <row r="109" spans="2:2" x14ac:dyDescent="0.25">
      <c r="B109" s="22"/>
    </row>
    <row r="110" spans="2:2" x14ac:dyDescent="0.25">
      <c r="B110" s="22"/>
    </row>
    <row r="111" spans="2:2" x14ac:dyDescent="0.25">
      <c r="B111" s="22"/>
    </row>
    <row r="112" spans="2:2" x14ac:dyDescent="0.25">
      <c r="B112" s="22"/>
    </row>
    <row r="113" spans="2:2" x14ac:dyDescent="0.25">
      <c r="B113" s="22"/>
    </row>
    <row r="114" spans="2:2" x14ac:dyDescent="0.25">
      <c r="B114" s="22"/>
    </row>
    <row r="115" spans="2:2" x14ac:dyDescent="0.25">
      <c r="B115" s="22"/>
    </row>
    <row r="116" spans="2:2" x14ac:dyDescent="0.25">
      <c r="B116" s="22"/>
    </row>
    <row r="117" spans="2:2" x14ac:dyDescent="0.25">
      <c r="B117" s="22"/>
    </row>
    <row r="118" spans="2:2" x14ac:dyDescent="0.25">
      <c r="B118" s="22"/>
    </row>
    <row r="119" spans="2:2" x14ac:dyDescent="0.25">
      <c r="B119" s="22"/>
    </row>
    <row r="120" spans="2:2" x14ac:dyDescent="0.25">
      <c r="B120" s="22"/>
    </row>
    <row r="121" spans="2:2" x14ac:dyDescent="0.25">
      <c r="B121" s="22"/>
    </row>
    <row r="122" spans="2:2" x14ac:dyDescent="0.25">
      <c r="B122" s="22"/>
    </row>
    <row r="123" spans="2:2" x14ac:dyDescent="0.25">
      <c r="B123" s="22"/>
    </row>
    <row r="124" spans="2:2" x14ac:dyDescent="0.25">
      <c r="B124" s="22"/>
    </row>
    <row r="125" spans="2:2" x14ac:dyDescent="0.25">
      <c r="B125" s="22"/>
    </row>
    <row r="126" spans="2:2" x14ac:dyDescent="0.25">
      <c r="B126" s="22"/>
    </row>
    <row r="127" spans="2:2" x14ac:dyDescent="0.25">
      <c r="B127" s="22"/>
    </row>
    <row r="128" spans="2:2" x14ac:dyDescent="0.25">
      <c r="B128" s="22"/>
    </row>
    <row r="129" spans="2:2" x14ac:dyDescent="0.25">
      <c r="B129" s="22"/>
    </row>
    <row r="130" spans="2:2" x14ac:dyDescent="0.25">
      <c r="B130" s="22"/>
    </row>
    <row r="131" spans="2:2" x14ac:dyDescent="0.25">
      <c r="B131" s="22"/>
    </row>
    <row r="132" spans="2:2" x14ac:dyDescent="0.25">
      <c r="B132" s="22"/>
    </row>
    <row r="133" spans="2:2" x14ac:dyDescent="0.25">
      <c r="B133" s="22"/>
    </row>
    <row r="134" spans="2:2" x14ac:dyDescent="0.25">
      <c r="B134" s="22"/>
    </row>
    <row r="135" spans="2:2" x14ac:dyDescent="0.25">
      <c r="B135" s="22"/>
    </row>
    <row r="136" spans="2:2" x14ac:dyDescent="0.25">
      <c r="B136" s="22"/>
    </row>
    <row r="137" spans="2:2" x14ac:dyDescent="0.25">
      <c r="B137" s="22"/>
    </row>
    <row r="138" spans="2:2" x14ac:dyDescent="0.25">
      <c r="B138" s="22"/>
    </row>
    <row r="139" spans="2:2" x14ac:dyDescent="0.25">
      <c r="B139" s="22"/>
    </row>
    <row r="140" spans="2:2" x14ac:dyDescent="0.25">
      <c r="B140" s="22"/>
    </row>
    <row r="141" spans="2:2" x14ac:dyDescent="0.25">
      <c r="B141" s="22"/>
    </row>
    <row r="142" spans="2:2" x14ac:dyDescent="0.25">
      <c r="B142" s="22"/>
    </row>
    <row r="143" spans="2:2" x14ac:dyDescent="0.25">
      <c r="B143" s="22"/>
    </row>
    <row r="144" spans="2:2" x14ac:dyDescent="0.25">
      <c r="B144" s="22"/>
    </row>
    <row r="145" spans="2:2" x14ac:dyDescent="0.25">
      <c r="B145" s="22"/>
    </row>
    <row r="146" spans="2:2" x14ac:dyDescent="0.25">
      <c r="B146" s="22"/>
    </row>
    <row r="147" spans="2:2" x14ac:dyDescent="0.25">
      <c r="B147" s="22"/>
    </row>
    <row r="148" spans="2:2" x14ac:dyDescent="0.25">
      <c r="B148" s="22"/>
    </row>
    <row r="149" spans="2:2" x14ac:dyDescent="0.25">
      <c r="B149" s="22"/>
    </row>
    <row r="150" spans="2:2" x14ac:dyDescent="0.25">
      <c r="B150" s="22"/>
    </row>
    <row r="151" spans="2:2" x14ac:dyDescent="0.25">
      <c r="B151" s="22"/>
    </row>
    <row r="152" spans="2:2" x14ac:dyDescent="0.25">
      <c r="B152" s="22"/>
    </row>
    <row r="153" spans="2:2" x14ac:dyDescent="0.25">
      <c r="B153" s="22"/>
    </row>
    <row r="154" spans="2:2" x14ac:dyDescent="0.25">
      <c r="B154" s="22"/>
    </row>
    <row r="155" spans="2:2" x14ac:dyDescent="0.25">
      <c r="B155" s="22"/>
    </row>
    <row r="156" spans="2:2" x14ac:dyDescent="0.25">
      <c r="B156" s="22"/>
    </row>
    <row r="157" spans="2:2" x14ac:dyDescent="0.25">
      <c r="B157" s="22"/>
    </row>
    <row r="158" spans="2:2" x14ac:dyDescent="0.25">
      <c r="B158" s="22"/>
    </row>
    <row r="159" spans="2:2" x14ac:dyDescent="0.25">
      <c r="B159" s="22"/>
    </row>
    <row r="160" spans="2:2" x14ac:dyDescent="0.25">
      <c r="B160" s="22"/>
    </row>
    <row r="161" spans="2:2" x14ac:dyDescent="0.25">
      <c r="B161" s="22"/>
    </row>
    <row r="162" spans="2:2" x14ac:dyDescent="0.25">
      <c r="B162" s="22"/>
    </row>
    <row r="163" spans="2:2" x14ac:dyDescent="0.25">
      <c r="B163" s="22"/>
    </row>
    <row r="164" spans="2:2" x14ac:dyDescent="0.25">
      <c r="B164" s="22"/>
    </row>
    <row r="165" spans="2:2" x14ac:dyDescent="0.25">
      <c r="B165" s="22"/>
    </row>
    <row r="166" spans="2:2" x14ac:dyDescent="0.25">
      <c r="B166" s="22"/>
    </row>
    <row r="167" spans="2:2" x14ac:dyDescent="0.25">
      <c r="B167" s="22"/>
    </row>
    <row r="168" spans="2:2" x14ac:dyDescent="0.25">
      <c r="B168" s="22"/>
    </row>
    <row r="169" spans="2:2" x14ac:dyDescent="0.25">
      <c r="B169" s="22"/>
    </row>
    <row r="170" spans="2:2" x14ac:dyDescent="0.25">
      <c r="B170" s="22"/>
    </row>
    <row r="171" spans="2:2" x14ac:dyDescent="0.25">
      <c r="B171" s="22"/>
    </row>
    <row r="172" spans="2:2" x14ac:dyDescent="0.25">
      <c r="B172" s="22"/>
    </row>
    <row r="173" spans="2:2" x14ac:dyDescent="0.25">
      <c r="B173" s="22"/>
    </row>
    <row r="174" spans="2:2" x14ac:dyDescent="0.25">
      <c r="B174" s="22"/>
    </row>
    <row r="175" spans="2:2" x14ac:dyDescent="0.25">
      <c r="B175" s="22"/>
    </row>
    <row r="176" spans="2:2" x14ac:dyDescent="0.25">
      <c r="B176" s="22"/>
    </row>
    <row r="177" spans="2:2" x14ac:dyDescent="0.25">
      <c r="B177" s="22"/>
    </row>
    <row r="178" spans="2:2" x14ac:dyDescent="0.25">
      <c r="B178" s="22"/>
    </row>
    <row r="179" spans="2:2" x14ac:dyDescent="0.25">
      <c r="B179" s="22"/>
    </row>
    <row r="180" spans="2:2" x14ac:dyDescent="0.25">
      <c r="B180" s="22"/>
    </row>
    <row r="181" spans="2:2" x14ac:dyDescent="0.25">
      <c r="B181" s="22"/>
    </row>
    <row r="182" spans="2:2" x14ac:dyDescent="0.25">
      <c r="B182" s="22"/>
    </row>
    <row r="183" spans="2:2" x14ac:dyDescent="0.25">
      <c r="B183" s="22"/>
    </row>
    <row r="184" spans="2:2" x14ac:dyDescent="0.25">
      <c r="B184" s="22"/>
    </row>
    <row r="185" spans="2:2" x14ac:dyDescent="0.25">
      <c r="B185" s="22"/>
    </row>
    <row r="186" spans="2:2" x14ac:dyDescent="0.25">
      <c r="B186" s="22"/>
    </row>
    <row r="187" spans="2:2" x14ac:dyDescent="0.25">
      <c r="B187" s="22"/>
    </row>
    <row r="188" spans="2:2" x14ac:dyDescent="0.25">
      <c r="B188" s="22"/>
    </row>
    <row r="189" spans="2:2" x14ac:dyDescent="0.25">
      <c r="B189" s="22"/>
    </row>
    <row r="190" spans="2:2" x14ac:dyDescent="0.25">
      <c r="B190" s="22"/>
    </row>
    <row r="191" spans="2:2" x14ac:dyDescent="0.25">
      <c r="B191" s="22"/>
    </row>
    <row r="192" spans="2:2" x14ac:dyDescent="0.25">
      <c r="B192" s="22"/>
    </row>
    <row r="193" spans="2:2" x14ac:dyDescent="0.25">
      <c r="B193" s="22"/>
    </row>
    <row r="194" spans="2:2" x14ac:dyDescent="0.25">
      <c r="B194" s="22"/>
    </row>
    <row r="195" spans="2:2" x14ac:dyDescent="0.25">
      <c r="B195" s="22"/>
    </row>
    <row r="196" spans="2:2" x14ac:dyDescent="0.25">
      <c r="B196" s="22"/>
    </row>
    <row r="197" spans="2:2" x14ac:dyDescent="0.25">
      <c r="B197" s="22"/>
    </row>
    <row r="198" spans="2:2" x14ac:dyDescent="0.25">
      <c r="B198" s="22"/>
    </row>
    <row r="199" spans="2:2" x14ac:dyDescent="0.25">
      <c r="B199" s="22"/>
    </row>
    <row r="200" spans="2:2" x14ac:dyDescent="0.25">
      <c r="B200" s="22"/>
    </row>
    <row r="201" spans="2:2" x14ac:dyDescent="0.25">
      <c r="B201" s="22"/>
    </row>
    <row r="202" spans="2:2" x14ac:dyDescent="0.25">
      <c r="B202" s="22"/>
    </row>
    <row r="203" spans="2:2" x14ac:dyDescent="0.25">
      <c r="B203" s="22"/>
    </row>
    <row r="204" spans="2:2" x14ac:dyDescent="0.25">
      <c r="B204" s="22"/>
    </row>
    <row r="205" spans="2:2" x14ac:dyDescent="0.25">
      <c r="B205" s="22"/>
    </row>
    <row r="206" spans="2:2" x14ac:dyDescent="0.25">
      <c r="B206" s="22"/>
    </row>
    <row r="207" spans="2:2" x14ac:dyDescent="0.25">
      <c r="B207" s="22"/>
    </row>
    <row r="208" spans="2:2" x14ac:dyDescent="0.25">
      <c r="B208" s="22"/>
    </row>
    <row r="209" spans="2:2" x14ac:dyDescent="0.25">
      <c r="B209" s="22"/>
    </row>
    <row r="210" spans="2:2" x14ac:dyDescent="0.25">
      <c r="B210" s="22"/>
    </row>
    <row r="211" spans="2:2" x14ac:dyDescent="0.25">
      <c r="B211" s="22"/>
    </row>
    <row r="212" spans="2:2" x14ac:dyDescent="0.25">
      <c r="B212" s="22"/>
    </row>
    <row r="213" spans="2:2" x14ac:dyDescent="0.25">
      <c r="B213" s="22"/>
    </row>
    <row r="214" spans="2:2" x14ac:dyDescent="0.25">
      <c r="B214" s="22"/>
    </row>
    <row r="215" spans="2:2" x14ac:dyDescent="0.25">
      <c r="B215" s="22"/>
    </row>
    <row r="216" spans="2:2" x14ac:dyDescent="0.25">
      <c r="B216" s="22"/>
    </row>
    <row r="217" spans="2:2" x14ac:dyDescent="0.25">
      <c r="B217" s="22"/>
    </row>
    <row r="218" spans="2:2" x14ac:dyDescent="0.25">
      <c r="B218" s="22"/>
    </row>
    <row r="219" spans="2:2" x14ac:dyDescent="0.25">
      <c r="B219" s="22"/>
    </row>
    <row r="220" spans="2:2" x14ac:dyDescent="0.25">
      <c r="B220" s="22"/>
    </row>
    <row r="221" spans="2:2" x14ac:dyDescent="0.25">
      <c r="B221" s="22"/>
    </row>
    <row r="222" spans="2:2" x14ac:dyDescent="0.25">
      <c r="B222" s="22"/>
    </row>
    <row r="223" spans="2:2" x14ac:dyDescent="0.25">
      <c r="B223" s="22"/>
    </row>
    <row r="224" spans="2:2" x14ac:dyDescent="0.25">
      <c r="B224" s="22"/>
    </row>
    <row r="225" spans="2:2" x14ac:dyDescent="0.25">
      <c r="B225" s="22"/>
    </row>
    <row r="226" spans="2:2" x14ac:dyDescent="0.25">
      <c r="B226" s="22"/>
    </row>
    <row r="227" spans="2:2" x14ac:dyDescent="0.25">
      <c r="B227" s="22"/>
    </row>
    <row r="228" spans="2:2" x14ac:dyDescent="0.25">
      <c r="B228" s="22"/>
    </row>
    <row r="229" spans="2:2" x14ac:dyDescent="0.25">
      <c r="B229" s="22"/>
    </row>
    <row r="230" spans="2:2" x14ac:dyDescent="0.25">
      <c r="B230" s="22"/>
    </row>
    <row r="231" spans="2:2" x14ac:dyDescent="0.25">
      <c r="B231" s="22"/>
    </row>
    <row r="232" spans="2:2" x14ac:dyDescent="0.25">
      <c r="B232" s="22"/>
    </row>
    <row r="233" spans="2:2" x14ac:dyDescent="0.25">
      <c r="B233" s="22"/>
    </row>
    <row r="234" spans="2:2" x14ac:dyDescent="0.25">
      <c r="B234" s="22"/>
    </row>
    <row r="235" spans="2:2" x14ac:dyDescent="0.25">
      <c r="B235" s="22"/>
    </row>
    <row r="236" spans="2:2" x14ac:dyDescent="0.25">
      <c r="B236" s="22"/>
    </row>
    <row r="237" spans="2:2" x14ac:dyDescent="0.25">
      <c r="B237" s="22"/>
    </row>
    <row r="238" spans="2:2" x14ac:dyDescent="0.25">
      <c r="B238" s="22"/>
    </row>
    <row r="239" spans="2:2" x14ac:dyDescent="0.25">
      <c r="B239" s="22"/>
    </row>
    <row r="240" spans="2:2" x14ac:dyDescent="0.25">
      <c r="B240" s="22"/>
    </row>
    <row r="241" spans="2:2" x14ac:dyDescent="0.25">
      <c r="B241" s="22"/>
    </row>
    <row r="242" spans="2:2" x14ac:dyDescent="0.25">
      <c r="B242" s="22"/>
    </row>
    <row r="243" spans="2:2" x14ac:dyDescent="0.25">
      <c r="B243" s="22"/>
    </row>
    <row r="244" spans="2:2" x14ac:dyDescent="0.25">
      <c r="B244" s="22"/>
    </row>
    <row r="245" spans="2:2" x14ac:dyDescent="0.25">
      <c r="B245" s="22"/>
    </row>
    <row r="246" spans="2:2" x14ac:dyDescent="0.25">
      <c r="B246" s="22"/>
    </row>
    <row r="247" spans="2:2" x14ac:dyDescent="0.25">
      <c r="B247" s="22"/>
    </row>
    <row r="248" spans="2:2" x14ac:dyDescent="0.25">
      <c r="B248" s="22"/>
    </row>
    <row r="249" spans="2:2" x14ac:dyDescent="0.25">
      <c r="B249" s="22"/>
    </row>
    <row r="250" spans="2:2" x14ac:dyDescent="0.25">
      <c r="B250" s="22"/>
    </row>
    <row r="251" spans="2:2" x14ac:dyDescent="0.25">
      <c r="B251" s="22"/>
    </row>
    <row r="252" spans="2:2" x14ac:dyDescent="0.25">
      <c r="B252" s="22"/>
    </row>
    <row r="253" spans="2:2" x14ac:dyDescent="0.25">
      <c r="B253" s="22"/>
    </row>
    <row r="254" spans="2:2" x14ac:dyDescent="0.25">
      <c r="B254" s="22"/>
    </row>
    <row r="255" spans="2:2" x14ac:dyDescent="0.25">
      <c r="B255" s="22"/>
    </row>
    <row r="256" spans="2:2" x14ac:dyDescent="0.25">
      <c r="B256" s="22"/>
    </row>
    <row r="257" spans="2:2" x14ac:dyDescent="0.25">
      <c r="B257" s="22"/>
    </row>
    <row r="258" spans="2:2" x14ac:dyDescent="0.25">
      <c r="B258" s="22"/>
    </row>
    <row r="259" spans="2:2" x14ac:dyDescent="0.25">
      <c r="B259" s="22"/>
    </row>
    <row r="260" spans="2:2" x14ac:dyDescent="0.25">
      <c r="B260" s="22"/>
    </row>
    <row r="261" spans="2:2" x14ac:dyDescent="0.25">
      <c r="B261" s="22"/>
    </row>
    <row r="262" spans="2:2" x14ac:dyDescent="0.25">
      <c r="B262" s="22"/>
    </row>
    <row r="263" spans="2:2" x14ac:dyDescent="0.25">
      <c r="B263" s="22"/>
    </row>
    <row r="264" spans="2:2" x14ac:dyDescent="0.25">
      <c r="B264" s="22"/>
    </row>
    <row r="265" spans="2:2" x14ac:dyDescent="0.25">
      <c r="B265" s="22"/>
    </row>
    <row r="266" spans="2:2" x14ac:dyDescent="0.25">
      <c r="B266" s="22"/>
    </row>
    <row r="267" spans="2:2" x14ac:dyDescent="0.25">
      <c r="B267" s="22"/>
    </row>
    <row r="268" spans="2:2" x14ac:dyDescent="0.25">
      <c r="B268" s="22"/>
    </row>
    <row r="269" spans="2:2" x14ac:dyDescent="0.25">
      <c r="B269" s="22"/>
    </row>
    <row r="270" spans="2:2" x14ac:dyDescent="0.25">
      <c r="B270" s="22"/>
    </row>
    <row r="271" spans="2:2" x14ac:dyDescent="0.25">
      <c r="B271" s="22"/>
    </row>
    <row r="272" spans="2:2" x14ac:dyDescent="0.25">
      <c r="B272" s="22"/>
    </row>
    <row r="273" spans="2:2" x14ac:dyDescent="0.25">
      <c r="B273" s="22"/>
    </row>
    <row r="274" spans="2:2" x14ac:dyDescent="0.25">
      <c r="B274" s="22"/>
    </row>
    <row r="275" spans="2:2" x14ac:dyDescent="0.25">
      <c r="B275" s="22"/>
    </row>
    <row r="276" spans="2:2" x14ac:dyDescent="0.25">
      <c r="B276" s="22"/>
    </row>
    <row r="277" spans="2:2" x14ac:dyDescent="0.25">
      <c r="B277" s="22"/>
    </row>
    <row r="278" spans="2:2" x14ac:dyDescent="0.25">
      <c r="B278" s="22"/>
    </row>
    <row r="279" spans="2:2" x14ac:dyDescent="0.25">
      <c r="B279" s="22"/>
    </row>
    <row r="280" spans="2:2" x14ac:dyDescent="0.25">
      <c r="B280" s="22"/>
    </row>
    <row r="281" spans="2:2" x14ac:dyDescent="0.25">
      <c r="B281" s="22"/>
    </row>
    <row r="282" spans="2:2" x14ac:dyDescent="0.25">
      <c r="B282" s="22"/>
    </row>
    <row r="283" spans="2:2" x14ac:dyDescent="0.25">
      <c r="B283" s="22"/>
    </row>
    <row r="284" spans="2:2" x14ac:dyDescent="0.25">
      <c r="B284" s="22"/>
    </row>
    <row r="285" spans="2:2" x14ac:dyDescent="0.25">
      <c r="B285" s="22"/>
    </row>
    <row r="286" spans="2:2" x14ac:dyDescent="0.25">
      <c r="B286" s="22"/>
    </row>
    <row r="287" spans="2:2" x14ac:dyDescent="0.25">
      <c r="B287" s="22"/>
    </row>
    <row r="288" spans="2:2" x14ac:dyDescent="0.25">
      <c r="B288" s="22"/>
    </row>
    <row r="289" spans="2:2" x14ac:dyDescent="0.25">
      <c r="B289" s="22"/>
    </row>
    <row r="290" spans="2:2" x14ac:dyDescent="0.25">
      <c r="B290" s="22"/>
    </row>
    <row r="291" spans="2:2" x14ac:dyDescent="0.25">
      <c r="B291" s="22"/>
    </row>
    <row r="292" spans="2:2" x14ac:dyDescent="0.25">
      <c r="B292" s="22"/>
    </row>
    <row r="293" spans="2:2" x14ac:dyDescent="0.25">
      <c r="B293" s="22"/>
    </row>
    <row r="294" spans="2:2" x14ac:dyDescent="0.25">
      <c r="B294" s="22"/>
    </row>
    <row r="295" spans="2:2" x14ac:dyDescent="0.25">
      <c r="B295" s="22"/>
    </row>
    <row r="296" spans="2:2" x14ac:dyDescent="0.25">
      <c r="B296" s="22"/>
    </row>
    <row r="297" spans="2:2" x14ac:dyDescent="0.25">
      <c r="B297" s="22"/>
    </row>
    <row r="298" spans="2:2" x14ac:dyDescent="0.25">
      <c r="B298" s="22"/>
    </row>
    <row r="299" spans="2:2" x14ac:dyDescent="0.25">
      <c r="B299" s="22"/>
    </row>
    <row r="300" spans="2:2" x14ac:dyDescent="0.25">
      <c r="B300" s="22"/>
    </row>
    <row r="301" spans="2:2" x14ac:dyDescent="0.25">
      <c r="B301" s="22"/>
    </row>
    <row r="302" spans="2:2" x14ac:dyDescent="0.25">
      <c r="B302" s="22"/>
    </row>
    <row r="303" spans="2:2" x14ac:dyDescent="0.25">
      <c r="B303" s="22"/>
    </row>
    <row r="304" spans="2:2" x14ac:dyDescent="0.25">
      <c r="B304" s="22"/>
    </row>
    <row r="305" spans="2:2" x14ac:dyDescent="0.25">
      <c r="B305" s="22"/>
    </row>
    <row r="306" spans="2:2" x14ac:dyDescent="0.25">
      <c r="B306" s="22"/>
    </row>
    <row r="307" spans="2:2" x14ac:dyDescent="0.25">
      <c r="B307" s="22"/>
    </row>
    <row r="308" spans="2:2" x14ac:dyDescent="0.25">
      <c r="B308" s="22"/>
    </row>
    <row r="309" spans="2:2" x14ac:dyDescent="0.25">
      <c r="B309" s="22"/>
    </row>
    <row r="310" spans="2:2" x14ac:dyDescent="0.25">
      <c r="B310" s="22"/>
    </row>
    <row r="311" spans="2:2" x14ac:dyDescent="0.25">
      <c r="B311" s="22"/>
    </row>
    <row r="312" spans="2:2" x14ac:dyDescent="0.25">
      <c r="B312" s="22"/>
    </row>
    <row r="313" spans="2:2" x14ac:dyDescent="0.25">
      <c r="B313" s="22"/>
    </row>
    <row r="314" spans="2:2" x14ac:dyDescent="0.25">
      <c r="B314" s="22"/>
    </row>
    <row r="315" spans="2:2" x14ac:dyDescent="0.25">
      <c r="B315" s="22"/>
    </row>
    <row r="316" spans="2:2" x14ac:dyDescent="0.25">
      <c r="B316" s="22"/>
    </row>
    <row r="317" spans="2:2" x14ac:dyDescent="0.25">
      <c r="B317" s="22"/>
    </row>
    <row r="318" spans="2:2" x14ac:dyDescent="0.25">
      <c r="B318" s="22"/>
    </row>
    <row r="319" spans="2:2" x14ac:dyDescent="0.25">
      <c r="B319" s="22"/>
    </row>
    <row r="320" spans="2:2" x14ac:dyDescent="0.25">
      <c r="B320" s="22"/>
    </row>
    <row r="321" spans="2:2" x14ac:dyDescent="0.25">
      <c r="B321" s="22"/>
    </row>
    <row r="322" spans="2:2" x14ac:dyDescent="0.25">
      <c r="B322" s="22"/>
    </row>
    <row r="323" spans="2:2" x14ac:dyDescent="0.25">
      <c r="B323" s="22"/>
    </row>
    <row r="324" spans="2:2" x14ac:dyDescent="0.25">
      <c r="B324" s="22"/>
    </row>
    <row r="325" spans="2:2" x14ac:dyDescent="0.25">
      <c r="B325" s="22"/>
    </row>
    <row r="326" spans="2:2" x14ac:dyDescent="0.25">
      <c r="B326" s="22"/>
    </row>
    <row r="327" spans="2:2" x14ac:dyDescent="0.25">
      <c r="B327" s="22"/>
    </row>
    <row r="328" spans="2:2" x14ac:dyDescent="0.25">
      <c r="B328" s="22"/>
    </row>
    <row r="329" spans="2:2" x14ac:dyDescent="0.25">
      <c r="B329" s="22"/>
    </row>
    <row r="330" spans="2:2" x14ac:dyDescent="0.25">
      <c r="B330" s="22"/>
    </row>
    <row r="331" spans="2:2" x14ac:dyDescent="0.25">
      <c r="B331" s="22"/>
    </row>
    <row r="332" spans="2:2" x14ac:dyDescent="0.25">
      <c r="B332" s="22"/>
    </row>
    <row r="333" spans="2:2" x14ac:dyDescent="0.25">
      <c r="B333" s="22"/>
    </row>
    <row r="334" spans="2:2" x14ac:dyDescent="0.25">
      <c r="B334" s="22"/>
    </row>
    <row r="335" spans="2:2" x14ac:dyDescent="0.25">
      <c r="B335" s="22"/>
    </row>
    <row r="336" spans="2:2" x14ac:dyDescent="0.25">
      <c r="B336" s="22"/>
    </row>
    <row r="337" spans="2:2" x14ac:dyDescent="0.25">
      <c r="B337" s="22"/>
    </row>
    <row r="338" spans="2:2" x14ac:dyDescent="0.25">
      <c r="B338" s="22"/>
    </row>
    <row r="339" spans="2:2" x14ac:dyDescent="0.25">
      <c r="B339" s="22"/>
    </row>
    <row r="340" spans="2:2" x14ac:dyDescent="0.25">
      <c r="B340" s="22"/>
    </row>
    <row r="341" spans="2:2" x14ac:dyDescent="0.25">
      <c r="B341" s="22"/>
    </row>
    <row r="342" spans="2:2" x14ac:dyDescent="0.25">
      <c r="B342" s="22"/>
    </row>
    <row r="343" spans="2:2" x14ac:dyDescent="0.25">
      <c r="B343" s="22"/>
    </row>
    <row r="344" spans="2:2" x14ac:dyDescent="0.25">
      <c r="B344" s="22"/>
    </row>
    <row r="345" spans="2:2" x14ac:dyDescent="0.25">
      <c r="B345" s="22"/>
    </row>
    <row r="346" spans="2:2" x14ac:dyDescent="0.25">
      <c r="B346" s="22"/>
    </row>
    <row r="347" spans="2:2" x14ac:dyDescent="0.25">
      <c r="B347" s="22"/>
    </row>
    <row r="348" spans="2:2" x14ac:dyDescent="0.25">
      <c r="B348" s="22"/>
    </row>
    <row r="349" spans="2:2" x14ac:dyDescent="0.25">
      <c r="B349" s="22"/>
    </row>
    <row r="350" spans="2:2" x14ac:dyDescent="0.25">
      <c r="B350" s="22"/>
    </row>
    <row r="351" spans="2:2" x14ac:dyDescent="0.25">
      <c r="B351" s="22"/>
    </row>
    <row r="352" spans="2:2" x14ac:dyDescent="0.25">
      <c r="B352" s="22"/>
    </row>
    <row r="353" spans="2:2" x14ac:dyDescent="0.25">
      <c r="B353" s="22"/>
    </row>
    <row r="354" spans="2:2" x14ac:dyDescent="0.25">
      <c r="B354" s="22"/>
    </row>
    <row r="355" spans="2:2" x14ac:dyDescent="0.25">
      <c r="B355" s="22"/>
    </row>
    <row r="356" spans="2:2" x14ac:dyDescent="0.25">
      <c r="B356" s="22"/>
    </row>
    <row r="357" spans="2:2" x14ac:dyDescent="0.25">
      <c r="B357" s="22"/>
    </row>
    <row r="358" spans="2:2" x14ac:dyDescent="0.25">
      <c r="B358" s="22"/>
    </row>
    <row r="359" spans="2:2" x14ac:dyDescent="0.25">
      <c r="B359" s="22"/>
    </row>
    <row r="360" spans="2:2" x14ac:dyDescent="0.25">
      <c r="B360" s="22"/>
    </row>
    <row r="361" spans="2:2" x14ac:dyDescent="0.25">
      <c r="B361" s="22"/>
    </row>
    <row r="362" spans="2:2" x14ac:dyDescent="0.25">
      <c r="B362" s="22"/>
    </row>
    <row r="363" spans="2:2" x14ac:dyDescent="0.25">
      <c r="B363" s="22"/>
    </row>
    <row r="364" spans="2:2" x14ac:dyDescent="0.25">
      <c r="B364" s="22"/>
    </row>
    <row r="365" spans="2:2" x14ac:dyDescent="0.25">
      <c r="B365" s="22"/>
    </row>
    <row r="366" spans="2:2" x14ac:dyDescent="0.25">
      <c r="B366" s="22"/>
    </row>
    <row r="367" spans="2:2" x14ac:dyDescent="0.25">
      <c r="B367" s="22"/>
    </row>
    <row r="368" spans="2:2" x14ac:dyDescent="0.25">
      <c r="B368" s="22"/>
    </row>
    <row r="369" spans="2:2" x14ac:dyDescent="0.25">
      <c r="B369" s="22"/>
    </row>
    <row r="370" spans="2:2" x14ac:dyDescent="0.25">
      <c r="B370" s="22"/>
    </row>
    <row r="371" spans="2:2" x14ac:dyDescent="0.25">
      <c r="B371" s="22"/>
    </row>
    <row r="372" spans="2:2" x14ac:dyDescent="0.25">
      <c r="B372" s="22"/>
    </row>
    <row r="373" spans="2:2" x14ac:dyDescent="0.25">
      <c r="B373" s="22"/>
    </row>
    <row r="374" spans="2:2" x14ac:dyDescent="0.25">
      <c r="B374" s="22"/>
    </row>
    <row r="375" spans="2:2" x14ac:dyDescent="0.25">
      <c r="B375" s="22"/>
    </row>
    <row r="376" spans="2:2" x14ac:dyDescent="0.25">
      <c r="B376" s="22"/>
    </row>
    <row r="377" spans="2:2" x14ac:dyDescent="0.25">
      <c r="B377" s="22"/>
    </row>
    <row r="378" spans="2:2" x14ac:dyDescent="0.25">
      <c r="B378" s="22"/>
    </row>
    <row r="379" spans="2:2" x14ac:dyDescent="0.25">
      <c r="B379" s="22"/>
    </row>
    <row r="380" spans="2:2" x14ac:dyDescent="0.25">
      <c r="B380" s="22"/>
    </row>
    <row r="381" spans="2:2" x14ac:dyDescent="0.25">
      <c r="B381" s="22"/>
    </row>
    <row r="382" spans="2:2" x14ac:dyDescent="0.25">
      <c r="B382" s="22"/>
    </row>
    <row r="383" spans="2:2" x14ac:dyDescent="0.25">
      <c r="B383" s="22"/>
    </row>
    <row r="384" spans="2:2" x14ac:dyDescent="0.25">
      <c r="B384" s="22"/>
    </row>
    <row r="385" spans="2:2" x14ac:dyDescent="0.25">
      <c r="B385" s="22"/>
    </row>
    <row r="386" spans="2:2" x14ac:dyDescent="0.25">
      <c r="B386" s="22"/>
    </row>
    <row r="387" spans="2:2" x14ac:dyDescent="0.25">
      <c r="B387" s="22"/>
    </row>
    <row r="388" spans="2:2" x14ac:dyDescent="0.25">
      <c r="B388" s="22"/>
    </row>
    <row r="389" spans="2:2" x14ac:dyDescent="0.25">
      <c r="B389" s="22"/>
    </row>
    <row r="390" spans="2:2" x14ac:dyDescent="0.25">
      <c r="B390" s="22"/>
    </row>
    <row r="391" spans="2:2" x14ac:dyDescent="0.25">
      <c r="B391" s="22"/>
    </row>
    <row r="392" spans="2:2" x14ac:dyDescent="0.25">
      <c r="B392" s="22"/>
    </row>
    <row r="393" spans="2:2" x14ac:dyDescent="0.25">
      <c r="B393" s="22"/>
    </row>
    <row r="394" spans="2:2" x14ac:dyDescent="0.25">
      <c r="B394" s="22"/>
    </row>
    <row r="395" spans="2:2" x14ac:dyDescent="0.25">
      <c r="B395" s="22"/>
    </row>
    <row r="396" spans="2:2" x14ac:dyDescent="0.25">
      <c r="B396" s="22"/>
    </row>
    <row r="397" spans="2:2" x14ac:dyDescent="0.25">
      <c r="B397" s="22"/>
    </row>
    <row r="398" spans="2:2" x14ac:dyDescent="0.25">
      <c r="B398" s="22"/>
    </row>
    <row r="399" spans="2:2" x14ac:dyDescent="0.25">
      <c r="B399" s="22"/>
    </row>
    <row r="400" spans="2:2" x14ac:dyDescent="0.25">
      <c r="B400" s="22"/>
    </row>
    <row r="401" spans="2:2" x14ac:dyDescent="0.25">
      <c r="B401" s="22"/>
    </row>
    <row r="402" spans="2:2" x14ac:dyDescent="0.25">
      <c r="B402" s="22"/>
    </row>
    <row r="403" spans="2:2" x14ac:dyDescent="0.25">
      <c r="B403" s="22"/>
    </row>
    <row r="404" spans="2:2" x14ac:dyDescent="0.25">
      <c r="B404" s="22"/>
    </row>
    <row r="405" spans="2:2" x14ac:dyDescent="0.25">
      <c r="B405" s="22"/>
    </row>
    <row r="406" spans="2:2" x14ac:dyDescent="0.25">
      <c r="B406" s="22"/>
    </row>
    <row r="407" spans="2:2" x14ac:dyDescent="0.25">
      <c r="B407" s="22"/>
    </row>
    <row r="408" spans="2:2" x14ac:dyDescent="0.25">
      <c r="B408" s="22"/>
    </row>
    <row r="409" spans="2:2" x14ac:dyDescent="0.25">
      <c r="B409" s="22"/>
    </row>
    <row r="410" spans="2:2" x14ac:dyDescent="0.25">
      <c r="B410" s="22"/>
    </row>
    <row r="411" spans="2:2" x14ac:dyDescent="0.25">
      <c r="B411" s="22"/>
    </row>
    <row r="412" spans="2:2" x14ac:dyDescent="0.25">
      <c r="B412" s="22"/>
    </row>
    <row r="413" spans="2:2" x14ac:dyDescent="0.25">
      <c r="B413" s="22"/>
    </row>
    <row r="414" spans="2:2" x14ac:dyDescent="0.25">
      <c r="B414" s="22"/>
    </row>
    <row r="415" spans="2:2" x14ac:dyDescent="0.25">
      <c r="B415" s="22"/>
    </row>
    <row r="416" spans="2:2" x14ac:dyDescent="0.25">
      <c r="B416" s="22"/>
    </row>
    <row r="417" spans="2:2" x14ac:dyDescent="0.25">
      <c r="B417" s="22"/>
    </row>
    <row r="418" spans="2:2" x14ac:dyDescent="0.25">
      <c r="B418" s="22"/>
    </row>
    <row r="419" spans="2:2" x14ac:dyDescent="0.25">
      <c r="B419" s="22"/>
    </row>
    <row r="420" spans="2:2" x14ac:dyDescent="0.25">
      <c r="B420" s="22"/>
    </row>
    <row r="421" spans="2:2" x14ac:dyDescent="0.25">
      <c r="B421" s="22"/>
    </row>
    <row r="422" spans="2:2" x14ac:dyDescent="0.25">
      <c r="B422" s="22"/>
    </row>
    <row r="423" spans="2:2" x14ac:dyDescent="0.25">
      <c r="B423" s="22"/>
    </row>
    <row r="424" spans="2:2" x14ac:dyDescent="0.25">
      <c r="B424" s="22"/>
    </row>
    <row r="425" spans="2:2" x14ac:dyDescent="0.25">
      <c r="B425" s="22"/>
    </row>
    <row r="426" spans="2:2" x14ac:dyDescent="0.25">
      <c r="B426" s="22"/>
    </row>
    <row r="427" spans="2:2" x14ac:dyDescent="0.25">
      <c r="B427" s="22"/>
    </row>
    <row r="428" spans="2:2" x14ac:dyDescent="0.25">
      <c r="B428" s="22"/>
    </row>
    <row r="429" spans="2:2" x14ac:dyDescent="0.25">
      <c r="B429" s="22"/>
    </row>
    <row r="430" spans="2:2" x14ac:dyDescent="0.25">
      <c r="B430" s="22"/>
    </row>
    <row r="431" spans="2:2" x14ac:dyDescent="0.25">
      <c r="B431" s="22"/>
    </row>
    <row r="432" spans="2:2" x14ac:dyDescent="0.25">
      <c r="B432" s="22"/>
    </row>
    <row r="433" spans="2:2" x14ac:dyDescent="0.25">
      <c r="B433" s="22"/>
    </row>
    <row r="434" spans="2:2" x14ac:dyDescent="0.25">
      <c r="B434" s="22"/>
    </row>
    <row r="435" spans="2:2" x14ac:dyDescent="0.25">
      <c r="B435" s="22"/>
    </row>
    <row r="436" spans="2:2" x14ac:dyDescent="0.25">
      <c r="B436" s="22"/>
    </row>
    <row r="437" spans="2:2" x14ac:dyDescent="0.25">
      <c r="B437" s="22"/>
    </row>
    <row r="438" spans="2:2" x14ac:dyDescent="0.25">
      <c r="B438" s="22"/>
    </row>
    <row r="439" spans="2:2" x14ac:dyDescent="0.25">
      <c r="B439" s="22"/>
    </row>
    <row r="440" spans="2:2" x14ac:dyDescent="0.25">
      <c r="B440" s="22"/>
    </row>
    <row r="441" spans="2:2" x14ac:dyDescent="0.25">
      <c r="B441" s="22"/>
    </row>
    <row r="442" spans="2:2" x14ac:dyDescent="0.25">
      <c r="B442" s="22"/>
    </row>
    <row r="443" spans="2:2" x14ac:dyDescent="0.25">
      <c r="B443" s="22"/>
    </row>
    <row r="444" spans="2:2" x14ac:dyDescent="0.25">
      <c r="B444" s="22"/>
    </row>
    <row r="445" spans="2:2" x14ac:dyDescent="0.25">
      <c r="B445" s="22"/>
    </row>
    <row r="446" spans="2:2" x14ac:dyDescent="0.25">
      <c r="B446" s="22"/>
    </row>
    <row r="447" spans="2:2" x14ac:dyDescent="0.25">
      <c r="B447" s="22"/>
    </row>
    <row r="448" spans="2:2" x14ac:dyDescent="0.25">
      <c r="B448" s="22"/>
    </row>
    <row r="449" spans="2:2" x14ac:dyDescent="0.25">
      <c r="B449" s="22"/>
    </row>
    <row r="450" spans="2:2" x14ac:dyDescent="0.25">
      <c r="B450" s="22"/>
    </row>
    <row r="451" spans="2:2" x14ac:dyDescent="0.25">
      <c r="B451" s="22"/>
    </row>
    <row r="452" spans="2:2" x14ac:dyDescent="0.25">
      <c r="B452" s="22"/>
    </row>
    <row r="453" spans="2:2" x14ac:dyDescent="0.25">
      <c r="B453" s="22"/>
    </row>
    <row r="454" spans="2:2" x14ac:dyDescent="0.25">
      <c r="B454" s="22"/>
    </row>
    <row r="455" spans="2:2" x14ac:dyDescent="0.25">
      <c r="B455" s="22"/>
    </row>
    <row r="456" spans="2:2" x14ac:dyDescent="0.25">
      <c r="B456" s="22"/>
    </row>
    <row r="457" spans="2:2" x14ac:dyDescent="0.25">
      <c r="B457" s="22"/>
    </row>
    <row r="458" spans="2:2" x14ac:dyDescent="0.25">
      <c r="B458" s="22"/>
    </row>
    <row r="459" spans="2:2" x14ac:dyDescent="0.25">
      <c r="B459" s="22"/>
    </row>
    <row r="460" spans="2:2" x14ac:dyDescent="0.25">
      <c r="B460" s="22"/>
    </row>
    <row r="461" spans="2:2" x14ac:dyDescent="0.25">
      <c r="B461" s="22"/>
    </row>
    <row r="462" spans="2:2" x14ac:dyDescent="0.25">
      <c r="B462" s="22"/>
    </row>
    <row r="463" spans="2:2" x14ac:dyDescent="0.25">
      <c r="B463" s="22"/>
    </row>
    <row r="464" spans="2:2" x14ac:dyDescent="0.25">
      <c r="B464" s="22"/>
    </row>
    <row r="465" spans="2:2" x14ac:dyDescent="0.25">
      <c r="B465" s="22"/>
    </row>
    <row r="466" spans="2:2" x14ac:dyDescent="0.25">
      <c r="B466" s="22"/>
    </row>
    <row r="467" spans="2:2" x14ac:dyDescent="0.25">
      <c r="B467" s="22"/>
    </row>
    <row r="468" spans="2:2" x14ac:dyDescent="0.25">
      <c r="B468" s="22"/>
    </row>
    <row r="469" spans="2:2" x14ac:dyDescent="0.25">
      <c r="B469" s="22"/>
    </row>
    <row r="470" spans="2:2" x14ac:dyDescent="0.25">
      <c r="B470" s="22"/>
    </row>
    <row r="471" spans="2:2" x14ac:dyDescent="0.25">
      <c r="B471" s="22"/>
    </row>
    <row r="472" spans="2:2" x14ac:dyDescent="0.25">
      <c r="B472" s="22"/>
    </row>
    <row r="473" spans="2:2" x14ac:dyDescent="0.25">
      <c r="B473" s="22"/>
    </row>
    <row r="474" spans="2:2" x14ac:dyDescent="0.25">
      <c r="B474" s="22"/>
    </row>
    <row r="475" spans="2:2" x14ac:dyDescent="0.25">
      <c r="B475" s="22"/>
    </row>
    <row r="476" spans="2:2" x14ac:dyDescent="0.25">
      <c r="B476" s="22"/>
    </row>
    <row r="477" spans="2:2" x14ac:dyDescent="0.25">
      <c r="B477" s="22"/>
    </row>
    <row r="478" spans="2:2" x14ac:dyDescent="0.25">
      <c r="B478" s="22"/>
    </row>
    <row r="479" spans="2:2" x14ac:dyDescent="0.25">
      <c r="B479" s="22"/>
    </row>
    <row r="480" spans="2:2" x14ac:dyDescent="0.25">
      <c r="B480" s="22"/>
    </row>
    <row r="481" spans="2:2" x14ac:dyDescent="0.25">
      <c r="B481" s="22"/>
    </row>
    <row r="482" spans="2:2" x14ac:dyDescent="0.25">
      <c r="B482" s="22"/>
    </row>
    <row r="483" spans="2:2" x14ac:dyDescent="0.25">
      <c r="B483" s="22"/>
    </row>
    <row r="484" spans="2:2" x14ac:dyDescent="0.25">
      <c r="B484" s="22"/>
    </row>
    <row r="485" spans="2:2" x14ac:dyDescent="0.25">
      <c r="B485" s="22"/>
    </row>
    <row r="486" spans="2:2" x14ac:dyDescent="0.25">
      <c r="B486" s="22"/>
    </row>
    <row r="487" spans="2:2" x14ac:dyDescent="0.25">
      <c r="B487" s="22"/>
    </row>
    <row r="488" spans="2:2" x14ac:dyDescent="0.25">
      <c r="B488" s="22"/>
    </row>
    <row r="489" spans="2:2" x14ac:dyDescent="0.25">
      <c r="B489" s="22"/>
    </row>
    <row r="490" spans="2:2" x14ac:dyDescent="0.25">
      <c r="B490" s="22"/>
    </row>
    <row r="491" spans="2:2" x14ac:dyDescent="0.25">
      <c r="B491" s="22"/>
    </row>
    <row r="492" spans="2:2" x14ac:dyDescent="0.25">
      <c r="B492" s="22"/>
    </row>
    <row r="493" spans="2:2" x14ac:dyDescent="0.25">
      <c r="B493" s="22"/>
    </row>
    <row r="494" spans="2:2" x14ac:dyDescent="0.25">
      <c r="B494" s="22"/>
    </row>
    <row r="495" spans="2:2" x14ac:dyDescent="0.25">
      <c r="B495" s="22"/>
    </row>
    <row r="496" spans="2:2" x14ac:dyDescent="0.25">
      <c r="B496" s="22"/>
    </row>
    <row r="497" spans="2:2" x14ac:dyDescent="0.25">
      <c r="B497" s="22"/>
    </row>
    <row r="498" spans="2:2" x14ac:dyDescent="0.25">
      <c r="B498" s="22"/>
    </row>
    <row r="499" spans="2:2" x14ac:dyDescent="0.25">
      <c r="B499" s="22"/>
    </row>
    <row r="500" spans="2:2" x14ac:dyDescent="0.25">
      <c r="B500" s="22"/>
    </row>
    <row r="501" spans="2:2" x14ac:dyDescent="0.25">
      <c r="B501" s="22"/>
    </row>
    <row r="502" spans="2:2" x14ac:dyDescent="0.25">
      <c r="B502" s="22"/>
    </row>
    <row r="503" spans="2:2" x14ac:dyDescent="0.25">
      <c r="B503" s="22"/>
    </row>
    <row r="504" spans="2:2" x14ac:dyDescent="0.25">
      <c r="B504" s="22"/>
    </row>
    <row r="505" spans="2:2" x14ac:dyDescent="0.25">
      <c r="B505" s="22"/>
    </row>
    <row r="506" spans="2:2" x14ac:dyDescent="0.25">
      <c r="B506" s="22"/>
    </row>
    <row r="507" spans="2:2" x14ac:dyDescent="0.25">
      <c r="B507" s="22"/>
    </row>
    <row r="508" spans="2:2" x14ac:dyDescent="0.25">
      <c r="B508" s="22"/>
    </row>
    <row r="509" spans="2:2" x14ac:dyDescent="0.25">
      <c r="B509" s="22"/>
    </row>
    <row r="510" spans="2:2" x14ac:dyDescent="0.25">
      <c r="B510" s="22"/>
    </row>
    <row r="511" spans="2:2" x14ac:dyDescent="0.25">
      <c r="B511" s="22"/>
    </row>
    <row r="512" spans="2:2" x14ac:dyDescent="0.25">
      <c r="B512" s="22"/>
    </row>
    <row r="513" spans="2:2" x14ac:dyDescent="0.25">
      <c r="B513" s="22"/>
    </row>
    <row r="514" spans="2:2" x14ac:dyDescent="0.25">
      <c r="B514" s="22"/>
    </row>
    <row r="515" spans="2:2" x14ac:dyDescent="0.25">
      <c r="B515" s="22"/>
    </row>
    <row r="516" spans="2:2" x14ac:dyDescent="0.25">
      <c r="B516" s="22"/>
    </row>
    <row r="517" spans="2:2" x14ac:dyDescent="0.25">
      <c r="B517" s="22"/>
    </row>
    <row r="518" spans="2:2" x14ac:dyDescent="0.25">
      <c r="B518" s="22"/>
    </row>
    <row r="519" spans="2:2" x14ac:dyDescent="0.25">
      <c r="B519" s="22"/>
    </row>
    <row r="520" spans="2:2" x14ac:dyDescent="0.25">
      <c r="B520" s="22"/>
    </row>
    <row r="521" spans="2:2" x14ac:dyDescent="0.25">
      <c r="B521" s="22"/>
    </row>
    <row r="522" spans="2:2" x14ac:dyDescent="0.25">
      <c r="B522" s="22"/>
    </row>
  </sheetData>
  <phoneticPr fontId="2" type="noConversion"/>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1288B1-EE27-40F2-9145-61B7D9DB1905}">
  <dimension ref="A1:N3360"/>
  <sheetViews>
    <sheetView workbookViewId="0">
      <selection activeCell="D7" sqref="D7"/>
    </sheetView>
  </sheetViews>
  <sheetFormatPr defaultColWidth="8.85546875" defaultRowHeight="15" x14ac:dyDescent="0.25"/>
  <cols>
    <col min="1" max="1" width="19.140625" style="21" bestFit="1" customWidth="1"/>
    <col min="2" max="2" width="12.7109375" style="21" bestFit="1" customWidth="1"/>
    <col min="3" max="3" width="14.42578125" style="21" bestFit="1" customWidth="1"/>
    <col min="4" max="4" width="9.85546875" style="21" bestFit="1" customWidth="1"/>
    <col min="5" max="5" width="3.28515625" style="21" customWidth="1"/>
    <col min="6" max="6" width="3" style="21" bestFit="1" customWidth="1"/>
    <col min="7" max="9" width="7.28515625" style="21" bestFit="1" customWidth="1"/>
    <col min="10" max="12" width="8.42578125" style="21" bestFit="1" customWidth="1"/>
    <col min="13" max="13" width="6.42578125" style="21" bestFit="1" customWidth="1"/>
    <col min="14" max="14" width="6" style="21" bestFit="1" customWidth="1"/>
    <col min="15" max="16384" width="8.85546875" style="21"/>
  </cols>
  <sheetData>
    <row r="1" spans="1:14" s="1" customFormat="1" x14ac:dyDescent="0.25">
      <c r="A1" s="1" t="s">
        <v>24</v>
      </c>
      <c r="B1" s="1" t="s">
        <v>23</v>
      </c>
      <c r="C1" s="1" t="s">
        <v>22</v>
      </c>
      <c r="D1" s="1" t="s">
        <v>21</v>
      </c>
      <c r="E1" s="1" t="s">
        <v>20</v>
      </c>
      <c r="F1" s="1" t="s">
        <v>19</v>
      </c>
      <c r="G1" s="1" t="s">
        <v>18</v>
      </c>
      <c r="H1" s="1" t="s">
        <v>17</v>
      </c>
      <c r="I1" s="1" t="s">
        <v>16</v>
      </c>
      <c r="J1" s="1" t="s">
        <v>15</v>
      </c>
      <c r="K1" s="1" t="s">
        <v>14</v>
      </c>
      <c r="L1" s="1" t="s">
        <v>13</v>
      </c>
      <c r="M1" s="1" t="s">
        <v>12</v>
      </c>
      <c r="N1" s="1" t="s">
        <v>11</v>
      </c>
    </row>
    <row r="2" spans="1:14" x14ac:dyDescent="0.25">
      <c r="A2" s="23"/>
      <c r="J2" s="24"/>
      <c r="K2" s="24"/>
    </row>
    <row r="3" spans="1:14" x14ac:dyDescent="0.25">
      <c r="A3" s="23"/>
    </row>
    <row r="4" spans="1:14" x14ac:dyDescent="0.25">
      <c r="A4" s="23"/>
    </row>
    <row r="5" spans="1:14" x14ac:dyDescent="0.25">
      <c r="A5" s="23"/>
    </row>
    <row r="6" spans="1:14" x14ac:dyDescent="0.25">
      <c r="A6" s="23"/>
    </row>
    <row r="7" spans="1:14" x14ac:dyDescent="0.25">
      <c r="A7" s="23"/>
    </row>
    <row r="8" spans="1:14" x14ac:dyDescent="0.25">
      <c r="A8" s="23"/>
    </row>
    <row r="9" spans="1:14" x14ac:dyDescent="0.25">
      <c r="A9" s="23"/>
    </row>
    <row r="10" spans="1:14" x14ac:dyDescent="0.25">
      <c r="A10" s="23"/>
    </row>
    <row r="11" spans="1:14" x14ac:dyDescent="0.25">
      <c r="A11" s="23"/>
    </row>
    <row r="12" spans="1:14" x14ac:dyDescent="0.25">
      <c r="A12" s="23"/>
    </row>
    <row r="13" spans="1:14" x14ac:dyDescent="0.25">
      <c r="A13" s="23"/>
    </row>
    <row r="14" spans="1:14" x14ac:dyDescent="0.25">
      <c r="A14" s="23"/>
    </row>
    <row r="15" spans="1:14" x14ac:dyDescent="0.25">
      <c r="A15" s="23"/>
    </row>
    <row r="16" spans="1:14" x14ac:dyDescent="0.25">
      <c r="A16" s="23"/>
    </row>
    <row r="17" spans="1:1" x14ac:dyDescent="0.25">
      <c r="A17" s="23"/>
    </row>
    <row r="18" spans="1:1" x14ac:dyDescent="0.25">
      <c r="A18" s="23"/>
    </row>
    <row r="19" spans="1:1" x14ac:dyDescent="0.25">
      <c r="A19" s="23"/>
    </row>
    <row r="20" spans="1:1" x14ac:dyDescent="0.25">
      <c r="A20" s="23"/>
    </row>
    <row r="21" spans="1:1" x14ac:dyDescent="0.25">
      <c r="A21" s="23"/>
    </row>
    <row r="22" spans="1:1" x14ac:dyDescent="0.25">
      <c r="A22" s="23"/>
    </row>
    <row r="23" spans="1:1" x14ac:dyDescent="0.25">
      <c r="A23" s="23"/>
    </row>
    <row r="24" spans="1:1" x14ac:dyDescent="0.25">
      <c r="A24" s="23"/>
    </row>
    <row r="25" spans="1:1" x14ac:dyDescent="0.25">
      <c r="A25" s="23"/>
    </row>
    <row r="26" spans="1:1" x14ac:dyDescent="0.25">
      <c r="A26" s="23"/>
    </row>
    <row r="27" spans="1:1" x14ac:dyDescent="0.25">
      <c r="A27" s="23"/>
    </row>
    <row r="28" spans="1:1" x14ac:dyDescent="0.25">
      <c r="A28" s="23"/>
    </row>
    <row r="29" spans="1:1" x14ac:dyDescent="0.25">
      <c r="A29" s="23"/>
    </row>
    <row r="30" spans="1:1" x14ac:dyDescent="0.25">
      <c r="A30" s="23"/>
    </row>
    <row r="31" spans="1:1" x14ac:dyDescent="0.25">
      <c r="A31" s="23"/>
    </row>
    <row r="32" spans="1:1" x14ac:dyDescent="0.25">
      <c r="A32" s="23"/>
    </row>
    <row r="33" spans="1:1" x14ac:dyDescent="0.25">
      <c r="A33" s="23"/>
    </row>
    <row r="34" spans="1:1" x14ac:dyDescent="0.25">
      <c r="A34" s="23"/>
    </row>
    <row r="35" spans="1:1" x14ac:dyDescent="0.25">
      <c r="A35" s="23"/>
    </row>
    <row r="36" spans="1:1" x14ac:dyDescent="0.25">
      <c r="A36" s="23"/>
    </row>
    <row r="37" spans="1:1" x14ac:dyDescent="0.25">
      <c r="A37" s="23"/>
    </row>
    <row r="38" spans="1:1" x14ac:dyDescent="0.25">
      <c r="A38" s="23"/>
    </row>
    <row r="39" spans="1:1" x14ac:dyDescent="0.25">
      <c r="A39" s="23"/>
    </row>
    <row r="40" spans="1:1" x14ac:dyDescent="0.25">
      <c r="A40" s="23"/>
    </row>
    <row r="41" spans="1:1" x14ac:dyDescent="0.25">
      <c r="A41" s="23"/>
    </row>
    <row r="42" spans="1:1" x14ac:dyDescent="0.25">
      <c r="A42" s="23"/>
    </row>
    <row r="43" spans="1:1" x14ac:dyDescent="0.25">
      <c r="A43" s="23"/>
    </row>
    <row r="44" spans="1:1" x14ac:dyDescent="0.25">
      <c r="A44" s="23"/>
    </row>
    <row r="45" spans="1:1" x14ac:dyDescent="0.25">
      <c r="A45" s="23"/>
    </row>
    <row r="46" spans="1:1" x14ac:dyDescent="0.25">
      <c r="A46" s="23"/>
    </row>
    <row r="47" spans="1:1" x14ac:dyDescent="0.25">
      <c r="A47" s="23"/>
    </row>
    <row r="48" spans="1:1" x14ac:dyDescent="0.25">
      <c r="A48" s="23"/>
    </row>
    <row r="49" spans="1:1" x14ac:dyDescent="0.25">
      <c r="A49" s="23"/>
    </row>
    <row r="50" spans="1:1" x14ac:dyDescent="0.25">
      <c r="A50" s="23"/>
    </row>
    <row r="51" spans="1:1" x14ac:dyDescent="0.25">
      <c r="A51" s="23"/>
    </row>
    <row r="52" spans="1:1" x14ac:dyDescent="0.25">
      <c r="A52" s="23"/>
    </row>
    <row r="53" spans="1:1" x14ac:dyDescent="0.25">
      <c r="A53" s="23"/>
    </row>
    <row r="54" spans="1:1" x14ac:dyDescent="0.25">
      <c r="A54" s="23"/>
    </row>
    <row r="55" spans="1:1" x14ac:dyDescent="0.25">
      <c r="A55" s="23"/>
    </row>
    <row r="56" spans="1:1" x14ac:dyDescent="0.25">
      <c r="A56" s="23"/>
    </row>
    <row r="57" spans="1:1" x14ac:dyDescent="0.25">
      <c r="A57" s="23"/>
    </row>
    <row r="58" spans="1:1" x14ac:dyDescent="0.25">
      <c r="A58" s="23"/>
    </row>
    <row r="59" spans="1:1" x14ac:dyDescent="0.25">
      <c r="A59" s="23"/>
    </row>
    <row r="60" spans="1:1" x14ac:dyDescent="0.25">
      <c r="A60" s="23"/>
    </row>
    <row r="61" spans="1:1" x14ac:dyDescent="0.25">
      <c r="A61" s="23"/>
    </row>
    <row r="62" spans="1:1" x14ac:dyDescent="0.25">
      <c r="A62" s="23"/>
    </row>
    <row r="63" spans="1:1" x14ac:dyDescent="0.25">
      <c r="A63" s="23"/>
    </row>
    <row r="64" spans="1:1" x14ac:dyDescent="0.25">
      <c r="A64" s="23"/>
    </row>
    <row r="65" spans="1:1" x14ac:dyDescent="0.25">
      <c r="A65" s="23"/>
    </row>
    <row r="66" spans="1:1" x14ac:dyDescent="0.25">
      <c r="A66" s="23"/>
    </row>
    <row r="67" spans="1:1" x14ac:dyDescent="0.25">
      <c r="A67" s="23"/>
    </row>
    <row r="68" spans="1:1" x14ac:dyDescent="0.25">
      <c r="A68" s="23"/>
    </row>
    <row r="69" spans="1:1" x14ac:dyDescent="0.25">
      <c r="A69" s="23"/>
    </row>
    <row r="70" spans="1:1" x14ac:dyDescent="0.25">
      <c r="A70" s="23"/>
    </row>
    <row r="71" spans="1:1" x14ac:dyDescent="0.25">
      <c r="A71" s="23"/>
    </row>
    <row r="72" spans="1:1" x14ac:dyDescent="0.25">
      <c r="A72" s="23"/>
    </row>
    <row r="73" spans="1:1" x14ac:dyDescent="0.25">
      <c r="A73" s="23"/>
    </row>
    <row r="74" spans="1:1" x14ac:dyDescent="0.25">
      <c r="A74" s="23"/>
    </row>
    <row r="75" spans="1:1" x14ac:dyDescent="0.25">
      <c r="A75" s="23"/>
    </row>
    <row r="76" spans="1:1" x14ac:dyDescent="0.25">
      <c r="A76" s="23"/>
    </row>
    <row r="77" spans="1:1" x14ac:dyDescent="0.25">
      <c r="A77" s="23"/>
    </row>
    <row r="78" spans="1:1" x14ac:dyDescent="0.25">
      <c r="A78" s="23"/>
    </row>
    <row r="79" spans="1:1" x14ac:dyDescent="0.25">
      <c r="A79" s="23"/>
    </row>
    <row r="80" spans="1:1" x14ac:dyDescent="0.25">
      <c r="A80" s="23"/>
    </row>
    <row r="81" spans="1:1" x14ac:dyDescent="0.25">
      <c r="A81" s="23"/>
    </row>
    <row r="82" spans="1:1" x14ac:dyDescent="0.25">
      <c r="A82" s="23"/>
    </row>
    <row r="83" spans="1:1" x14ac:dyDescent="0.25">
      <c r="A83" s="23"/>
    </row>
    <row r="84" spans="1:1" x14ac:dyDescent="0.25">
      <c r="A84" s="23"/>
    </row>
    <row r="85" spans="1:1" x14ac:dyDescent="0.25">
      <c r="A85" s="23"/>
    </row>
    <row r="86" spans="1:1" x14ac:dyDescent="0.25">
      <c r="A86" s="23"/>
    </row>
    <row r="87" spans="1:1" x14ac:dyDescent="0.25">
      <c r="A87" s="23"/>
    </row>
    <row r="88" spans="1:1" x14ac:dyDescent="0.25">
      <c r="A88" s="23"/>
    </row>
    <row r="89" spans="1:1" x14ac:dyDescent="0.25">
      <c r="A89" s="23"/>
    </row>
    <row r="90" spans="1:1" x14ac:dyDescent="0.25">
      <c r="A90" s="23"/>
    </row>
    <row r="91" spans="1:1" x14ac:dyDescent="0.25">
      <c r="A91" s="23"/>
    </row>
    <row r="92" spans="1:1" x14ac:dyDescent="0.25">
      <c r="A92" s="23"/>
    </row>
    <row r="93" spans="1:1" x14ac:dyDescent="0.25">
      <c r="A93" s="23"/>
    </row>
    <row r="94" spans="1:1" x14ac:dyDescent="0.25">
      <c r="A94" s="23"/>
    </row>
    <row r="95" spans="1:1" x14ac:dyDescent="0.25">
      <c r="A95" s="23"/>
    </row>
    <row r="96" spans="1:1" x14ac:dyDescent="0.25">
      <c r="A96" s="23"/>
    </row>
    <row r="97" spans="1:1" x14ac:dyDescent="0.25">
      <c r="A97" s="23"/>
    </row>
    <row r="98" spans="1:1" x14ac:dyDescent="0.25">
      <c r="A98" s="23"/>
    </row>
    <row r="99" spans="1:1" x14ac:dyDescent="0.25">
      <c r="A99" s="23"/>
    </row>
    <row r="100" spans="1:1" x14ac:dyDescent="0.25">
      <c r="A100" s="23"/>
    </row>
    <row r="101" spans="1:1" x14ac:dyDescent="0.25">
      <c r="A101" s="23"/>
    </row>
    <row r="102" spans="1:1" x14ac:dyDescent="0.25">
      <c r="A102" s="23"/>
    </row>
    <row r="103" spans="1:1" x14ac:dyDescent="0.25">
      <c r="A103" s="23"/>
    </row>
    <row r="104" spans="1:1" x14ac:dyDescent="0.25">
      <c r="A104" s="23"/>
    </row>
    <row r="105" spans="1:1" x14ac:dyDescent="0.25">
      <c r="A105" s="23"/>
    </row>
    <row r="106" spans="1:1" x14ac:dyDescent="0.25">
      <c r="A106" s="23"/>
    </row>
    <row r="107" spans="1:1" x14ac:dyDescent="0.25">
      <c r="A107" s="23"/>
    </row>
    <row r="108" spans="1:1" x14ac:dyDescent="0.25">
      <c r="A108" s="23"/>
    </row>
    <row r="109" spans="1:1" x14ac:dyDescent="0.25">
      <c r="A109" s="23"/>
    </row>
    <row r="110" spans="1:1" x14ac:dyDescent="0.25">
      <c r="A110" s="23"/>
    </row>
    <row r="111" spans="1:1" x14ac:dyDescent="0.25">
      <c r="A111" s="23"/>
    </row>
    <row r="112" spans="1:1" x14ac:dyDescent="0.25">
      <c r="A112" s="23"/>
    </row>
    <row r="113" spans="1:1" x14ac:dyDescent="0.25">
      <c r="A113" s="23"/>
    </row>
    <row r="114" spans="1:1" x14ac:dyDescent="0.25">
      <c r="A114" s="23"/>
    </row>
    <row r="115" spans="1:1" x14ac:dyDescent="0.25">
      <c r="A115" s="23"/>
    </row>
    <row r="116" spans="1:1" x14ac:dyDescent="0.25">
      <c r="A116" s="23"/>
    </row>
    <row r="117" spans="1:1" x14ac:dyDescent="0.25">
      <c r="A117" s="23"/>
    </row>
    <row r="118" spans="1:1" x14ac:dyDescent="0.25">
      <c r="A118" s="23"/>
    </row>
    <row r="119" spans="1:1" x14ac:dyDescent="0.25">
      <c r="A119" s="23"/>
    </row>
    <row r="120" spans="1:1" x14ac:dyDescent="0.25">
      <c r="A120" s="23"/>
    </row>
    <row r="121" spans="1:1" x14ac:dyDescent="0.25">
      <c r="A121" s="23"/>
    </row>
    <row r="122" spans="1:1" x14ac:dyDescent="0.25">
      <c r="A122" s="23"/>
    </row>
    <row r="123" spans="1:1" x14ac:dyDescent="0.25">
      <c r="A123" s="23"/>
    </row>
    <row r="124" spans="1:1" x14ac:dyDescent="0.25">
      <c r="A124" s="23"/>
    </row>
    <row r="125" spans="1:1" x14ac:dyDescent="0.25">
      <c r="A125" s="23"/>
    </row>
    <row r="126" spans="1:1" x14ac:dyDescent="0.25">
      <c r="A126" s="23"/>
    </row>
    <row r="127" spans="1:1" x14ac:dyDescent="0.25">
      <c r="A127" s="23"/>
    </row>
    <row r="128" spans="1:1" x14ac:dyDescent="0.25">
      <c r="A128" s="23"/>
    </row>
    <row r="129" spans="1:1" x14ac:dyDescent="0.25">
      <c r="A129" s="23"/>
    </row>
    <row r="130" spans="1:1" x14ac:dyDescent="0.25">
      <c r="A130" s="23"/>
    </row>
    <row r="131" spans="1:1" x14ac:dyDescent="0.25">
      <c r="A131" s="23"/>
    </row>
    <row r="132" spans="1:1" x14ac:dyDescent="0.25">
      <c r="A132" s="23"/>
    </row>
    <row r="133" spans="1:1" x14ac:dyDescent="0.25">
      <c r="A133" s="23"/>
    </row>
    <row r="134" spans="1:1" x14ac:dyDescent="0.25">
      <c r="A134" s="23"/>
    </row>
    <row r="135" spans="1:1" x14ac:dyDescent="0.25">
      <c r="A135" s="23"/>
    </row>
    <row r="136" spans="1:1" x14ac:dyDescent="0.25">
      <c r="A136" s="23"/>
    </row>
    <row r="137" spans="1:1" x14ac:dyDescent="0.25">
      <c r="A137" s="23"/>
    </row>
    <row r="138" spans="1:1" x14ac:dyDescent="0.25">
      <c r="A138" s="23"/>
    </row>
    <row r="139" spans="1:1" x14ac:dyDescent="0.25">
      <c r="A139" s="23"/>
    </row>
    <row r="140" spans="1:1" x14ac:dyDescent="0.25">
      <c r="A140" s="23"/>
    </row>
    <row r="141" spans="1:1" x14ac:dyDescent="0.25">
      <c r="A141" s="23"/>
    </row>
    <row r="142" spans="1:1" x14ac:dyDescent="0.25">
      <c r="A142" s="23"/>
    </row>
    <row r="143" spans="1:1" x14ac:dyDescent="0.25">
      <c r="A143" s="23"/>
    </row>
    <row r="144" spans="1:1" x14ac:dyDescent="0.25">
      <c r="A144" s="23"/>
    </row>
    <row r="145" spans="1:1" x14ac:dyDescent="0.25">
      <c r="A145" s="23"/>
    </row>
    <row r="146" spans="1:1" x14ac:dyDescent="0.25">
      <c r="A146" s="23"/>
    </row>
    <row r="147" spans="1:1" x14ac:dyDescent="0.25">
      <c r="A147" s="23"/>
    </row>
    <row r="148" spans="1:1" x14ac:dyDescent="0.25">
      <c r="A148" s="23"/>
    </row>
    <row r="149" spans="1:1" x14ac:dyDescent="0.25">
      <c r="A149" s="23"/>
    </row>
    <row r="150" spans="1:1" x14ac:dyDescent="0.25">
      <c r="A150" s="23"/>
    </row>
    <row r="151" spans="1:1" x14ac:dyDescent="0.25">
      <c r="A151" s="23"/>
    </row>
    <row r="152" spans="1:1" x14ac:dyDescent="0.25">
      <c r="A152" s="23"/>
    </row>
    <row r="153" spans="1:1" x14ac:dyDescent="0.25">
      <c r="A153" s="23"/>
    </row>
    <row r="154" spans="1:1" x14ac:dyDescent="0.25">
      <c r="A154" s="23"/>
    </row>
    <row r="155" spans="1:1" x14ac:dyDescent="0.25">
      <c r="A155" s="23"/>
    </row>
    <row r="156" spans="1:1" x14ac:dyDescent="0.25">
      <c r="A156" s="23"/>
    </row>
    <row r="157" spans="1:1" x14ac:dyDescent="0.25">
      <c r="A157" s="23"/>
    </row>
    <row r="158" spans="1:1" x14ac:dyDescent="0.25">
      <c r="A158" s="23"/>
    </row>
    <row r="159" spans="1:1" x14ac:dyDescent="0.25">
      <c r="A159" s="23"/>
    </row>
    <row r="160" spans="1:1" x14ac:dyDescent="0.25">
      <c r="A160" s="23"/>
    </row>
    <row r="161" spans="1:1" x14ac:dyDescent="0.25">
      <c r="A161" s="23"/>
    </row>
    <row r="162" spans="1:1" x14ac:dyDescent="0.25">
      <c r="A162" s="23"/>
    </row>
    <row r="163" spans="1:1" x14ac:dyDescent="0.25">
      <c r="A163" s="23"/>
    </row>
    <row r="164" spans="1:1" x14ac:dyDescent="0.25">
      <c r="A164" s="23"/>
    </row>
    <row r="165" spans="1:1" x14ac:dyDescent="0.25">
      <c r="A165" s="23"/>
    </row>
    <row r="166" spans="1:1" x14ac:dyDescent="0.25">
      <c r="A166" s="23"/>
    </row>
    <row r="167" spans="1:1" x14ac:dyDescent="0.25">
      <c r="A167" s="23"/>
    </row>
    <row r="168" spans="1:1" x14ac:dyDescent="0.25">
      <c r="A168" s="23"/>
    </row>
    <row r="169" spans="1:1" x14ac:dyDescent="0.25">
      <c r="A169" s="23"/>
    </row>
    <row r="170" spans="1:1" x14ac:dyDescent="0.25">
      <c r="A170" s="23"/>
    </row>
    <row r="171" spans="1:1" x14ac:dyDescent="0.25">
      <c r="A171" s="23"/>
    </row>
    <row r="172" spans="1:1" x14ac:dyDescent="0.25">
      <c r="A172" s="23"/>
    </row>
    <row r="173" spans="1:1" x14ac:dyDescent="0.25">
      <c r="A173" s="23"/>
    </row>
    <row r="174" spans="1:1" x14ac:dyDescent="0.25">
      <c r="A174" s="23"/>
    </row>
    <row r="175" spans="1:1" x14ac:dyDescent="0.25">
      <c r="A175" s="23"/>
    </row>
    <row r="176" spans="1:1" x14ac:dyDescent="0.25">
      <c r="A176" s="23"/>
    </row>
    <row r="177" spans="1:1" x14ac:dyDescent="0.25">
      <c r="A177" s="23"/>
    </row>
    <row r="178" spans="1:1" x14ac:dyDescent="0.25">
      <c r="A178" s="23"/>
    </row>
    <row r="179" spans="1:1" x14ac:dyDescent="0.25">
      <c r="A179" s="23"/>
    </row>
    <row r="180" spans="1:1" x14ac:dyDescent="0.25">
      <c r="A180" s="23"/>
    </row>
    <row r="181" spans="1:1" x14ac:dyDescent="0.25">
      <c r="A181" s="23"/>
    </row>
    <row r="182" spans="1:1" x14ac:dyDescent="0.25">
      <c r="A182" s="23"/>
    </row>
    <row r="183" spans="1:1" x14ac:dyDescent="0.25">
      <c r="A183" s="23"/>
    </row>
    <row r="184" spans="1:1" x14ac:dyDescent="0.25">
      <c r="A184" s="23"/>
    </row>
    <row r="185" spans="1:1" x14ac:dyDescent="0.25">
      <c r="A185" s="23"/>
    </row>
    <row r="186" spans="1:1" x14ac:dyDescent="0.25">
      <c r="A186" s="23"/>
    </row>
    <row r="187" spans="1:1" x14ac:dyDescent="0.25">
      <c r="A187" s="23"/>
    </row>
    <row r="188" spans="1:1" x14ac:dyDescent="0.25">
      <c r="A188" s="23"/>
    </row>
    <row r="189" spans="1:1" x14ac:dyDescent="0.25">
      <c r="A189" s="23"/>
    </row>
    <row r="190" spans="1:1" x14ac:dyDescent="0.25">
      <c r="A190" s="23"/>
    </row>
    <row r="191" spans="1:1" x14ac:dyDescent="0.25">
      <c r="A191" s="23"/>
    </row>
    <row r="192" spans="1:1" x14ac:dyDescent="0.25">
      <c r="A192" s="23"/>
    </row>
    <row r="193" spans="1:1" x14ac:dyDescent="0.25">
      <c r="A193" s="23"/>
    </row>
    <row r="194" spans="1:1" x14ac:dyDescent="0.25">
      <c r="A194" s="23"/>
    </row>
    <row r="195" spans="1:1" x14ac:dyDescent="0.25">
      <c r="A195" s="23"/>
    </row>
    <row r="196" spans="1:1" x14ac:dyDescent="0.25">
      <c r="A196" s="23"/>
    </row>
    <row r="197" spans="1:1" x14ac:dyDescent="0.25">
      <c r="A197" s="23"/>
    </row>
    <row r="198" spans="1:1" x14ac:dyDescent="0.25">
      <c r="A198" s="23"/>
    </row>
    <row r="199" spans="1:1" x14ac:dyDescent="0.25">
      <c r="A199" s="23"/>
    </row>
    <row r="200" spans="1:1" x14ac:dyDescent="0.25">
      <c r="A200" s="23"/>
    </row>
    <row r="201" spans="1:1" x14ac:dyDescent="0.25">
      <c r="A201" s="23"/>
    </row>
    <row r="202" spans="1:1" x14ac:dyDescent="0.25">
      <c r="A202" s="23"/>
    </row>
    <row r="203" spans="1:1" x14ac:dyDescent="0.25">
      <c r="A203" s="23"/>
    </row>
    <row r="204" spans="1:1" x14ac:dyDescent="0.25">
      <c r="A204" s="23"/>
    </row>
    <row r="205" spans="1:1" x14ac:dyDescent="0.25">
      <c r="A205" s="23"/>
    </row>
    <row r="206" spans="1:1" x14ac:dyDescent="0.25">
      <c r="A206" s="23"/>
    </row>
    <row r="207" spans="1:1" x14ac:dyDescent="0.25">
      <c r="A207" s="23"/>
    </row>
    <row r="208" spans="1:1" x14ac:dyDescent="0.25">
      <c r="A208" s="23"/>
    </row>
    <row r="209" spans="1:1" x14ac:dyDescent="0.25">
      <c r="A209" s="23"/>
    </row>
    <row r="210" spans="1:1" x14ac:dyDescent="0.25">
      <c r="A210" s="23"/>
    </row>
    <row r="211" spans="1:1" x14ac:dyDescent="0.25">
      <c r="A211" s="23"/>
    </row>
    <row r="212" spans="1:1" x14ac:dyDescent="0.25">
      <c r="A212" s="23"/>
    </row>
    <row r="213" spans="1:1" x14ac:dyDescent="0.25">
      <c r="A213" s="23"/>
    </row>
    <row r="214" spans="1:1" x14ac:dyDescent="0.25">
      <c r="A214" s="23"/>
    </row>
    <row r="215" spans="1:1" x14ac:dyDescent="0.25">
      <c r="A215" s="23"/>
    </row>
    <row r="216" spans="1:1" x14ac:dyDescent="0.25">
      <c r="A216" s="23"/>
    </row>
    <row r="217" spans="1:1" x14ac:dyDescent="0.25">
      <c r="A217" s="23"/>
    </row>
    <row r="218" spans="1:1" x14ac:dyDescent="0.25">
      <c r="A218" s="23"/>
    </row>
    <row r="219" spans="1:1" x14ac:dyDescent="0.25">
      <c r="A219" s="23"/>
    </row>
    <row r="220" spans="1:1" x14ac:dyDescent="0.25">
      <c r="A220" s="23"/>
    </row>
    <row r="221" spans="1:1" x14ac:dyDescent="0.25">
      <c r="A221" s="23"/>
    </row>
    <row r="222" spans="1:1" x14ac:dyDescent="0.25">
      <c r="A222" s="23"/>
    </row>
    <row r="223" spans="1:1" x14ac:dyDescent="0.25">
      <c r="A223" s="23"/>
    </row>
    <row r="224" spans="1:1" x14ac:dyDescent="0.25">
      <c r="A224" s="23"/>
    </row>
    <row r="225" spans="1:1" x14ac:dyDescent="0.25">
      <c r="A225" s="23"/>
    </row>
    <row r="226" spans="1:1" x14ac:dyDescent="0.25">
      <c r="A226" s="23"/>
    </row>
    <row r="227" spans="1:1" x14ac:dyDescent="0.25">
      <c r="A227" s="23"/>
    </row>
    <row r="228" spans="1:1" x14ac:dyDescent="0.25">
      <c r="A228" s="23"/>
    </row>
    <row r="229" spans="1:1" x14ac:dyDescent="0.25">
      <c r="A229" s="23"/>
    </row>
    <row r="230" spans="1:1" x14ac:dyDescent="0.25">
      <c r="A230" s="23"/>
    </row>
    <row r="231" spans="1:1" x14ac:dyDescent="0.25">
      <c r="A231" s="23"/>
    </row>
    <row r="232" spans="1:1" x14ac:dyDescent="0.25">
      <c r="A232" s="23"/>
    </row>
    <row r="233" spans="1:1" x14ac:dyDescent="0.25">
      <c r="A233" s="23"/>
    </row>
    <row r="234" spans="1:1" x14ac:dyDescent="0.25">
      <c r="A234" s="23"/>
    </row>
    <row r="235" spans="1:1" x14ac:dyDescent="0.25">
      <c r="A235" s="23"/>
    </row>
    <row r="236" spans="1:1" x14ac:dyDescent="0.25">
      <c r="A236" s="23"/>
    </row>
    <row r="237" spans="1:1" x14ac:dyDescent="0.25">
      <c r="A237" s="23"/>
    </row>
    <row r="238" spans="1:1" x14ac:dyDescent="0.25">
      <c r="A238" s="23"/>
    </row>
    <row r="239" spans="1:1" x14ac:dyDescent="0.25">
      <c r="A239" s="23"/>
    </row>
    <row r="240" spans="1:1" x14ac:dyDescent="0.25">
      <c r="A240" s="23"/>
    </row>
    <row r="241" spans="1:1" x14ac:dyDescent="0.25">
      <c r="A241" s="23"/>
    </row>
    <row r="242" spans="1:1" x14ac:dyDescent="0.25">
      <c r="A242" s="23"/>
    </row>
    <row r="243" spans="1:1" x14ac:dyDescent="0.25">
      <c r="A243" s="23"/>
    </row>
    <row r="244" spans="1:1" x14ac:dyDescent="0.25">
      <c r="A244" s="23"/>
    </row>
    <row r="245" spans="1:1" x14ac:dyDescent="0.25">
      <c r="A245" s="23"/>
    </row>
    <row r="246" spans="1:1" x14ac:dyDescent="0.25">
      <c r="A246" s="23"/>
    </row>
    <row r="247" spans="1:1" x14ac:dyDescent="0.25">
      <c r="A247" s="23"/>
    </row>
    <row r="248" spans="1:1" x14ac:dyDescent="0.25">
      <c r="A248" s="23"/>
    </row>
    <row r="249" spans="1:1" x14ac:dyDescent="0.25">
      <c r="A249" s="23"/>
    </row>
    <row r="250" spans="1:1" x14ac:dyDescent="0.25">
      <c r="A250" s="23"/>
    </row>
    <row r="251" spans="1:1" x14ac:dyDescent="0.25">
      <c r="A251" s="23"/>
    </row>
    <row r="252" spans="1:1" x14ac:dyDescent="0.25">
      <c r="A252" s="23"/>
    </row>
    <row r="253" spans="1:1" x14ac:dyDescent="0.25">
      <c r="A253" s="23"/>
    </row>
    <row r="254" spans="1:1" x14ac:dyDescent="0.25">
      <c r="A254" s="23"/>
    </row>
    <row r="255" spans="1:1" x14ac:dyDescent="0.25">
      <c r="A255" s="23"/>
    </row>
    <row r="256" spans="1:1" x14ac:dyDescent="0.25">
      <c r="A256" s="23"/>
    </row>
    <row r="257" spans="1:1" x14ac:dyDescent="0.25">
      <c r="A257" s="23"/>
    </row>
    <row r="258" spans="1:1" x14ac:dyDescent="0.25">
      <c r="A258" s="23"/>
    </row>
    <row r="259" spans="1:1" x14ac:dyDescent="0.25">
      <c r="A259" s="23"/>
    </row>
    <row r="260" spans="1:1" x14ac:dyDescent="0.25">
      <c r="A260" s="23"/>
    </row>
    <row r="261" spans="1:1" x14ac:dyDescent="0.25">
      <c r="A261" s="23"/>
    </row>
    <row r="262" spans="1:1" x14ac:dyDescent="0.25">
      <c r="A262" s="23"/>
    </row>
    <row r="263" spans="1:1" x14ac:dyDescent="0.25">
      <c r="A263" s="23"/>
    </row>
    <row r="264" spans="1:1" x14ac:dyDescent="0.25">
      <c r="A264" s="23"/>
    </row>
    <row r="265" spans="1:1" x14ac:dyDescent="0.25">
      <c r="A265" s="23"/>
    </row>
    <row r="266" spans="1:1" x14ac:dyDescent="0.25">
      <c r="A266" s="23"/>
    </row>
    <row r="267" spans="1:1" x14ac:dyDescent="0.25">
      <c r="A267" s="23"/>
    </row>
    <row r="268" spans="1:1" x14ac:dyDescent="0.25">
      <c r="A268" s="23"/>
    </row>
    <row r="269" spans="1:1" x14ac:dyDescent="0.25">
      <c r="A269" s="23"/>
    </row>
    <row r="270" spans="1:1" x14ac:dyDescent="0.25">
      <c r="A270" s="23"/>
    </row>
    <row r="271" spans="1:1" x14ac:dyDescent="0.25">
      <c r="A271" s="23"/>
    </row>
    <row r="272" spans="1:1" x14ac:dyDescent="0.25">
      <c r="A272" s="23"/>
    </row>
    <row r="273" spans="1:1" x14ac:dyDescent="0.25">
      <c r="A273" s="23"/>
    </row>
    <row r="274" spans="1:1" x14ac:dyDescent="0.25">
      <c r="A274" s="23"/>
    </row>
    <row r="275" spans="1:1" x14ac:dyDescent="0.25">
      <c r="A275" s="23"/>
    </row>
    <row r="276" spans="1:1" x14ac:dyDescent="0.25">
      <c r="A276" s="23"/>
    </row>
    <row r="277" spans="1:1" x14ac:dyDescent="0.25">
      <c r="A277" s="23"/>
    </row>
    <row r="278" spans="1:1" x14ac:dyDescent="0.25">
      <c r="A278" s="23"/>
    </row>
    <row r="279" spans="1:1" x14ac:dyDescent="0.25">
      <c r="A279" s="23"/>
    </row>
    <row r="280" spans="1:1" x14ac:dyDescent="0.25">
      <c r="A280" s="23"/>
    </row>
    <row r="281" spans="1:1" x14ac:dyDescent="0.25">
      <c r="A281" s="23"/>
    </row>
    <row r="282" spans="1:1" x14ac:dyDescent="0.25">
      <c r="A282" s="23"/>
    </row>
    <row r="283" spans="1:1" x14ac:dyDescent="0.25">
      <c r="A283" s="23"/>
    </row>
    <row r="284" spans="1:1" x14ac:dyDescent="0.25">
      <c r="A284" s="23"/>
    </row>
    <row r="285" spans="1:1" x14ac:dyDescent="0.25">
      <c r="A285" s="23"/>
    </row>
    <row r="286" spans="1:1" x14ac:dyDescent="0.25">
      <c r="A286" s="23"/>
    </row>
    <row r="287" spans="1:1" x14ac:dyDescent="0.25">
      <c r="A287" s="23"/>
    </row>
    <row r="288" spans="1:1" x14ac:dyDescent="0.25">
      <c r="A288" s="23"/>
    </row>
    <row r="289" spans="1:1" x14ac:dyDescent="0.25">
      <c r="A289" s="23"/>
    </row>
    <row r="290" spans="1:1" x14ac:dyDescent="0.25">
      <c r="A290" s="23"/>
    </row>
    <row r="291" spans="1:1" x14ac:dyDescent="0.25">
      <c r="A291" s="23"/>
    </row>
    <row r="292" spans="1:1" x14ac:dyDescent="0.25">
      <c r="A292" s="23"/>
    </row>
    <row r="293" spans="1:1" x14ac:dyDescent="0.25">
      <c r="A293" s="23"/>
    </row>
    <row r="294" spans="1:1" x14ac:dyDescent="0.25">
      <c r="A294" s="23"/>
    </row>
    <row r="295" spans="1:1" x14ac:dyDescent="0.25">
      <c r="A295" s="23"/>
    </row>
    <row r="296" spans="1:1" x14ac:dyDescent="0.25">
      <c r="A296" s="23"/>
    </row>
    <row r="297" spans="1:1" x14ac:dyDescent="0.25">
      <c r="A297" s="23"/>
    </row>
    <row r="298" spans="1:1" x14ac:dyDescent="0.25">
      <c r="A298" s="23"/>
    </row>
    <row r="299" spans="1:1" x14ac:dyDescent="0.25">
      <c r="A299" s="23"/>
    </row>
    <row r="300" spans="1:1" x14ac:dyDescent="0.25">
      <c r="A300" s="23"/>
    </row>
    <row r="301" spans="1:1" x14ac:dyDescent="0.25">
      <c r="A301" s="23"/>
    </row>
    <row r="302" spans="1:1" x14ac:dyDescent="0.25">
      <c r="A302" s="23"/>
    </row>
    <row r="303" spans="1:1" x14ac:dyDescent="0.25">
      <c r="A303" s="23"/>
    </row>
    <row r="304" spans="1:1" x14ac:dyDescent="0.25">
      <c r="A304" s="23"/>
    </row>
    <row r="305" spans="1:1" x14ac:dyDescent="0.25">
      <c r="A305" s="23"/>
    </row>
    <row r="306" spans="1:1" x14ac:dyDescent="0.25">
      <c r="A306" s="23"/>
    </row>
    <row r="307" spans="1:1" x14ac:dyDescent="0.25">
      <c r="A307" s="23"/>
    </row>
    <row r="308" spans="1:1" x14ac:dyDescent="0.25">
      <c r="A308" s="23"/>
    </row>
    <row r="309" spans="1:1" x14ac:dyDescent="0.25">
      <c r="A309" s="23"/>
    </row>
    <row r="310" spans="1:1" x14ac:dyDescent="0.25">
      <c r="A310" s="23"/>
    </row>
    <row r="311" spans="1:1" x14ac:dyDescent="0.25">
      <c r="A311" s="23"/>
    </row>
    <row r="312" spans="1:1" x14ac:dyDescent="0.25">
      <c r="A312" s="23"/>
    </row>
    <row r="313" spans="1:1" x14ac:dyDescent="0.25">
      <c r="A313" s="23"/>
    </row>
    <row r="314" spans="1:1" x14ac:dyDescent="0.25">
      <c r="A314" s="23"/>
    </row>
    <row r="315" spans="1:1" x14ac:dyDescent="0.25">
      <c r="A315" s="23"/>
    </row>
    <row r="316" spans="1:1" x14ac:dyDescent="0.25">
      <c r="A316" s="23"/>
    </row>
    <row r="317" spans="1:1" x14ac:dyDescent="0.25">
      <c r="A317" s="23"/>
    </row>
    <row r="318" spans="1:1" x14ac:dyDescent="0.25">
      <c r="A318" s="23"/>
    </row>
    <row r="319" spans="1:1" x14ac:dyDescent="0.25">
      <c r="A319" s="23"/>
    </row>
    <row r="320" spans="1:1" x14ac:dyDescent="0.25">
      <c r="A320" s="23"/>
    </row>
    <row r="321" spans="1:1" x14ac:dyDescent="0.25">
      <c r="A321" s="23"/>
    </row>
    <row r="322" spans="1:1" x14ac:dyDescent="0.25">
      <c r="A322" s="23"/>
    </row>
    <row r="323" spans="1:1" x14ac:dyDescent="0.25">
      <c r="A323" s="23"/>
    </row>
    <row r="324" spans="1:1" x14ac:dyDescent="0.25">
      <c r="A324" s="23"/>
    </row>
    <row r="325" spans="1:1" x14ac:dyDescent="0.25">
      <c r="A325" s="23"/>
    </row>
    <row r="326" spans="1:1" x14ac:dyDescent="0.25">
      <c r="A326" s="23"/>
    </row>
    <row r="327" spans="1:1" x14ac:dyDescent="0.25">
      <c r="A327" s="23"/>
    </row>
    <row r="328" spans="1:1" x14ac:dyDescent="0.25">
      <c r="A328" s="23"/>
    </row>
    <row r="329" spans="1:1" x14ac:dyDescent="0.25">
      <c r="A329" s="23"/>
    </row>
    <row r="330" spans="1:1" x14ac:dyDescent="0.25">
      <c r="A330" s="23"/>
    </row>
    <row r="331" spans="1:1" x14ac:dyDescent="0.25">
      <c r="A331" s="23"/>
    </row>
    <row r="332" spans="1:1" x14ac:dyDescent="0.25">
      <c r="A332" s="23"/>
    </row>
    <row r="333" spans="1:1" x14ac:dyDescent="0.25">
      <c r="A333" s="23"/>
    </row>
    <row r="334" spans="1:1" x14ac:dyDescent="0.25">
      <c r="A334" s="23"/>
    </row>
    <row r="335" spans="1:1" x14ac:dyDescent="0.25">
      <c r="A335" s="23"/>
    </row>
    <row r="336" spans="1:1" x14ac:dyDescent="0.25">
      <c r="A336" s="23"/>
    </row>
    <row r="337" spans="1:1" x14ac:dyDescent="0.25">
      <c r="A337" s="23"/>
    </row>
    <row r="338" spans="1:1" x14ac:dyDescent="0.25">
      <c r="A338" s="23"/>
    </row>
    <row r="339" spans="1:1" x14ac:dyDescent="0.25">
      <c r="A339" s="23"/>
    </row>
    <row r="340" spans="1:1" x14ac:dyDescent="0.25">
      <c r="A340" s="23"/>
    </row>
    <row r="341" spans="1:1" x14ac:dyDescent="0.25">
      <c r="A341" s="23"/>
    </row>
    <row r="342" spans="1:1" x14ac:dyDescent="0.25">
      <c r="A342" s="23"/>
    </row>
    <row r="343" spans="1:1" x14ac:dyDescent="0.25">
      <c r="A343" s="23"/>
    </row>
    <row r="344" spans="1:1" x14ac:dyDescent="0.25">
      <c r="A344" s="23"/>
    </row>
    <row r="345" spans="1:1" x14ac:dyDescent="0.25">
      <c r="A345" s="23"/>
    </row>
    <row r="346" spans="1:1" x14ac:dyDescent="0.25">
      <c r="A346" s="23"/>
    </row>
    <row r="347" spans="1:1" x14ac:dyDescent="0.25">
      <c r="A347" s="23"/>
    </row>
    <row r="348" spans="1:1" x14ac:dyDescent="0.25">
      <c r="A348" s="23"/>
    </row>
    <row r="349" spans="1:1" x14ac:dyDescent="0.25">
      <c r="A349" s="23"/>
    </row>
    <row r="350" spans="1:1" x14ac:dyDescent="0.25">
      <c r="A350" s="23"/>
    </row>
    <row r="351" spans="1:1" x14ac:dyDescent="0.25">
      <c r="A351" s="23"/>
    </row>
    <row r="352" spans="1:1" x14ac:dyDescent="0.25">
      <c r="A352" s="23"/>
    </row>
    <row r="353" spans="1:1" x14ac:dyDescent="0.25">
      <c r="A353" s="23"/>
    </row>
    <row r="354" spans="1:1" x14ac:dyDescent="0.25">
      <c r="A354" s="23"/>
    </row>
    <row r="355" spans="1:1" x14ac:dyDescent="0.25">
      <c r="A355" s="23"/>
    </row>
    <row r="356" spans="1:1" x14ac:dyDescent="0.25">
      <c r="A356" s="23"/>
    </row>
    <row r="357" spans="1:1" x14ac:dyDescent="0.25">
      <c r="A357" s="23"/>
    </row>
    <row r="358" spans="1:1" x14ac:dyDescent="0.25">
      <c r="A358" s="23"/>
    </row>
    <row r="359" spans="1:1" x14ac:dyDescent="0.25">
      <c r="A359" s="23"/>
    </row>
    <row r="360" spans="1:1" x14ac:dyDescent="0.25">
      <c r="A360" s="23"/>
    </row>
    <row r="361" spans="1:1" x14ac:dyDescent="0.25">
      <c r="A361" s="23"/>
    </row>
    <row r="362" spans="1:1" x14ac:dyDescent="0.25">
      <c r="A362" s="23"/>
    </row>
    <row r="363" spans="1:1" x14ac:dyDescent="0.25">
      <c r="A363" s="23"/>
    </row>
    <row r="364" spans="1:1" x14ac:dyDescent="0.25">
      <c r="A364" s="23"/>
    </row>
    <row r="365" spans="1:1" x14ac:dyDescent="0.25">
      <c r="A365" s="23"/>
    </row>
    <row r="366" spans="1:1" x14ac:dyDescent="0.25">
      <c r="A366" s="23"/>
    </row>
    <row r="367" spans="1:1" x14ac:dyDescent="0.25">
      <c r="A367" s="23"/>
    </row>
    <row r="368" spans="1:1" x14ac:dyDescent="0.25">
      <c r="A368" s="23"/>
    </row>
    <row r="369" spans="1:1" x14ac:dyDescent="0.25">
      <c r="A369" s="23"/>
    </row>
    <row r="370" spans="1:1" x14ac:dyDescent="0.25">
      <c r="A370" s="23"/>
    </row>
    <row r="371" spans="1:1" x14ac:dyDescent="0.25">
      <c r="A371" s="23"/>
    </row>
    <row r="372" spans="1:1" x14ac:dyDescent="0.25">
      <c r="A372" s="23"/>
    </row>
    <row r="373" spans="1:1" x14ac:dyDescent="0.25">
      <c r="A373" s="23"/>
    </row>
    <row r="374" spans="1:1" x14ac:dyDescent="0.25">
      <c r="A374" s="23"/>
    </row>
    <row r="375" spans="1:1" x14ac:dyDescent="0.25">
      <c r="A375" s="23"/>
    </row>
    <row r="376" spans="1:1" x14ac:dyDescent="0.25">
      <c r="A376" s="23"/>
    </row>
    <row r="377" spans="1:1" x14ac:dyDescent="0.25">
      <c r="A377" s="23"/>
    </row>
    <row r="378" spans="1:1" x14ac:dyDescent="0.25">
      <c r="A378" s="23"/>
    </row>
    <row r="379" spans="1:1" x14ac:dyDescent="0.25">
      <c r="A379" s="23"/>
    </row>
    <row r="380" spans="1:1" x14ac:dyDescent="0.25">
      <c r="A380" s="23"/>
    </row>
    <row r="381" spans="1:1" x14ac:dyDescent="0.25">
      <c r="A381" s="23"/>
    </row>
    <row r="382" spans="1:1" x14ac:dyDescent="0.25">
      <c r="A382" s="23"/>
    </row>
    <row r="383" spans="1:1" x14ac:dyDescent="0.25">
      <c r="A383" s="23"/>
    </row>
    <row r="384" spans="1:1" x14ac:dyDescent="0.25">
      <c r="A384" s="23"/>
    </row>
    <row r="385" spans="1:1" x14ac:dyDescent="0.25">
      <c r="A385" s="23"/>
    </row>
    <row r="386" spans="1:1" x14ac:dyDescent="0.25">
      <c r="A386" s="23"/>
    </row>
    <row r="387" spans="1:1" x14ac:dyDescent="0.25">
      <c r="A387" s="23"/>
    </row>
    <row r="388" spans="1:1" x14ac:dyDescent="0.25">
      <c r="A388" s="23"/>
    </row>
    <row r="389" spans="1:1" x14ac:dyDescent="0.25">
      <c r="A389" s="23"/>
    </row>
    <row r="390" spans="1:1" x14ac:dyDescent="0.25">
      <c r="A390" s="23"/>
    </row>
    <row r="391" spans="1:1" x14ac:dyDescent="0.25">
      <c r="A391" s="23"/>
    </row>
    <row r="392" spans="1:1" x14ac:dyDescent="0.25">
      <c r="A392" s="23"/>
    </row>
    <row r="393" spans="1:1" x14ac:dyDescent="0.25">
      <c r="A393" s="23"/>
    </row>
    <row r="394" spans="1:1" x14ac:dyDescent="0.25">
      <c r="A394" s="23"/>
    </row>
    <row r="395" spans="1:1" x14ac:dyDescent="0.25">
      <c r="A395" s="23"/>
    </row>
    <row r="396" spans="1:1" x14ac:dyDescent="0.25">
      <c r="A396" s="23"/>
    </row>
    <row r="397" spans="1:1" x14ac:dyDescent="0.25">
      <c r="A397" s="23"/>
    </row>
    <row r="398" spans="1:1" x14ac:dyDescent="0.25">
      <c r="A398" s="23"/>
    </row>
    <row r="399" spans="1:1" x14ac:dyDescent="0.25">
      <c r="A399" s="23"/>
    </row>
    <row r="400" spans="1:1" x14ac:dyDescent="0.25">
      <c r="A400" s="23"/>
    </row>
    <row r="401" spans="1:1" x14ac:dyDescent="0.25">
      <c r="A401" s="23"/>
    </row>
    <row r="402" spans="1:1" x14ac:dyDescent="0.25">
      <c r="A402" s="23"/>
    </row>
    <row r="403" spans="1:1" x14ac:dyDescent="0.25">
      <c r="A403" s="23"/>
    </row>
    <row r="404" spans="1:1" x14ac:dyDescent="0.25">
      <c r="A404" s="23"/>
    </row>
    <row r="405" spans="1:1" x14ac:dyDescent="0.25">
      <c r="A405" s="23"/>
    </row>
    <row r="406" spans="1:1" x14ac:dyDescent="0.25">
      <c r="A406" s="23"/>
    </row>
    <row r="407" spans="1:1" x14ac:dyDescent="0.25">
      <c r="A407" s="23"/>
    </row>
    <row r="408" spans="1:1" x14ac:dyDescent="0.25">
      <c r="A408" s="23"/>
    </row>
    <row r="409" spans="1:1" x14ac:dyDescent="0.25">
      <c r="A409" s="23"/>
    </row>
    <row r="410" spans="1:1" x14ac:dyDescent="0.25">
      <c r="A410" s="23"/>
    </row>
    <row r="411" spans="1:1" x14ac:dyDescent="0.25">
      <c r="A411" s="23"/>
    </row>
    <row r="412" spans="1:1" x14ac:dyDescent="0.25">
      <c r="A412" s="23"/>
    </row>
    <row r="413" spans="1:1" x14ac:dyDescent="0.25">
      <c r="A413" s="23"/>
    </row>
    <row r="414" spans="1:1" x14ac:dyDescent="0.25">
      <c r="A414" s="23"/>
    </row>
    <row r="415" spans="1:1" x14ac:dyDescent="0.25">
      <c r="A415" s="23"/>
    </row>
    <row r="416" spans="1:1" x14ac:dyDescent="0.25">
      <c r="A416" s="23"/>
    </row>
    <row r="417" spans="1:1" x14ac:dyDescent="0.25">
      <c r="A417" s="23"/>
    </row>
    <row r="418" spans="1:1" x14ac:dyDescent="0.25">
      <c r="A418" s="23"/>
    </row>
    <row r="419" spans="1:1" x14ac:dyDescent="0.25">
      <c r="A419" s="23"/>
    </row>
    <row r="420" spans="1:1" x14ac:dyDescent="0.25">
      <c r="A420" s="23"/>
    </row>
    <row r="421" spans="1:1" x14ac:dyDescent="0.25">
      <c r="A421" s="23"/>
    </row>
    <row r="422" spans="1:1" x14ac:dyDescent="0.25">
      <c r="A422" s="23"/>
    </row>
    <row r="423" spans="1:1" x14ac:dyDescent="0.25">
      <c r="A423" s="23"/>
    </row>
    <row r="424" spans="1:1" x14ac:dyDescent="0.25">
      <c r="A424" s="23"/>
    </row>
    <row r="425" spans="1:1" x14ac:dyDescent="0.25">
      <c r="A425" s="23"/>
    </row>
    <row r="426" spans="1:1" x14ac:dyDescent="0.25">
      <c r="A426" s="23"/>
    </row>
    <row r="427" spans="1:1" x14ac:dyDescent="0.25">
      <c r="A427" s="23"/>
    </row>
    <row r="428" spans="1:1" x14ac:dyDescent="0.25">
      <c r="A428" s="23"/>
    </row>
    <row r="429" spans="1:1" x14ac:dyDescent="0.25">
      <c r="A429" s="23"/>
    </row>
    <row r="430" spans="1:1" x14ac:dyDescent="0.25">
      <c r="A430" s="23"/>
    </row>
    <row r="431" spans="1:1" x14ac:dyDescent="0.25">
      <c r="A431" s="23"/>
    </row>
    <row r="432" spans="1:1" x14ac:dyDescent="0.25">
      <c r="A432" s="23"/>
    </row>
    <row r="433" spans="1:1" x14ac:dyDescent="0.25">
      <c r="A433" s="23"/>
    </row>
    <row r="434" spans="1:1" x14ac:dyDescent="0.25">
      <c r="A434" s="23"/>
    </row>
    <row r="435" spans="1:1" x14ac:dyDescent="0.25">
      <c r="A435" s="23"/>
    </row>
    <row r="436" spans="1:1" x14ac:dyDescent="0.25">
      <c r="A436" s="23"/>
    </row>
    <row r="437" spans="1:1" x14ac:dyDescent="0.25">
      <c r="A437" s="23"/>
    </row>
    <row r="438" spans="1:1" x14ac:dyDescent="0.25">
      <c r="A438" s="23"/>
    </row>
    <row r="439" spans="1:1" x14ac:dyDescent="0.25">
      <c r="A439" s="23"/>
    </row>
    <row r="440" spans="1:1" x14ac:dyDescent="0.25">
      <c r="A440" s="23"/>
    </row>
    <row r="441" spans="1:1" x14ac:dyDescent="0.25">
      <c r="A441" s="23"/>
    </row>
    <row r="442" spans="1:1" x14ac:dyDescent="0.25">
      <c r="A442" s="23"/>
    </row>
    <row r="443" spans="1:1" x14ac:dyDescent="0.25">
      <c r="A443" s="23"/>
    </row>
    <row r="444" spans="1:1" x14ac:dyDescent="0.25">
      <c r="A444" s="23"/>
    </row>
    <row r="445" spans="1:1" x14ac:dyDescent="0.25">
      <c r="A445" s="23"/>
    </row>
    <row r="446" spans="1:1" x14ac:dyDescent="0.25">
      <c r="A446" s="23"/>
    </row>
    <row r="447" spans="1:1" x14ac:dyDescent="0.25">
      <c r="A447" s="23"/>
    </row>
    <row r="448" spans="1:1" x14ac:dyDescent="0.25">
      <c r="A448" s="23"/>
    </row>
    <row r="449" spans="1:1" x14ac:dyDescent="0.25">
      <c r="A449" s="23"/>
    </row>
    <row r="450" spans="1:1" x14ac:dyDescent="0.25">
      <c r="A450" s="23"/>
    </row>
    <row r="451" spans="1:1" x14ac:dyDescent="0.25">
      <c r="A451" s="23"/>
    </row>
    <row r="452" spans="1:1" x14ac:dyDescent="0.25">
      <c r="A452" s="23"/>
    </row>
    <row r="453" spans="1:1" x14ac:dyDescent="0.25">
      <c r="A453" s="23"/>
    </row>
    <row r="454" spans="1:1" x14ac:dyDescent="0.25">
      <c r="A454" s="23"/>
    </row>
    <row r="455" spans="1:1" x14ac:dyDescent="0.25">
      <c r="A455" s="23"/>
    </row>
    <row r="456" spans="1:1" x14ac:dyDescent="0.25">
      <c r="A456" s="23"/>
    </row>
    <row r="457" spans="1:1" x14ac:dyDescent="0.25">
      <c r="A457" s="23"/>
    </row>
    <row r="458" spans="1:1" x14ac:dyDescent="0.25">
      <c r="A458" s="23"/>
    </row>
    <row r="459" spans="1:1" x14ac:dyDescent="0.25">
      <c r="A459" s="23"/>
    </row>
    <row r="460" spans="1:1" x14ac:dyDescent="0.25">
      <c r="A460" s="23"/>
    </row>
    <row r="461" spans="1:1" x14ac:dyDescent="0.25">
      <c r="A461" s="23"/>
    </row>
    <row r="462" spans="1:1" x14ac:dyDescent="0.25">
      <c r="A462" s="23"/>
    </row>
    <row r="463" spans="1:1" x14ac:dyDescent="0.25">
      <c r="A463" s="23"/>
    </row>
    <row r="464" spans="1:1" x14ac:dyDescent="0.25">
      <c r="A464" s="23"/>
    </row>
    <row r="465" spans="1:1" x14ac:dyDescent="0.25">
      <c r="A465" s="23"/>
    </row>
    <row r="466" spans="1:1" x14ac:dyDescent="0.25">
      <c r="A466" s="23"/>
    </row>
    <row r="467" spans="1:1" x14ac:dyDescent="0.25">
      <c r="A467" s="23"/>
    </row>
    <row r="468" spans="1:1" x14ac:dyDescent="0.25">
      <c r="A468" s="23"/>
    </row>
    <row r="469" spans="1:1" x14ac:dyDescent="0.25">
      <c r="A469" s="23"/>
    </row>
    <row r="470" spans="1:1" x14ac:dyDescent="0.25">
      <c r="A470" s="23"/>
    </row>
    <row r="471" spans="1:1" x14ac:dyDescent="0.25">
      <c r="A471" s="23"/>
    </row>
    <row r="472" spans="1:1" x14ac:dyDescent="0.25">
      <c r="A472" s="23"/>
    </row>
    <row r="473" spans="1:1" x14ac:dyDescent="0.25">
      <c r="A473" s="23"/>
    </row>
    <row r="474" spans="1:1" x14ac:dyDescent="0.25">
      <c r="A474" s="23"/>
    </row>
    <row r="475" spans="1:1" x14ac:dyDescent="0.25">
      <c r="A475" s="23"/>
    </row>
    <row r="476" spans="1:1" x14ac:dyDescent="0.25">
      <c r="A476" s="23"/>
    </row>
    <row r="477" spans="1:1" x14ac:dyDescent="0.25">
      <c r="A477" s="23"/>
    </row>
    <row r="478" spans="1:1" x14ac:dyDescent="0.25">
      <c r="A478" s="23"/>
    </row>
    <row r="479" spans="1:1" x14ac:dyDescent="0.25">
      <c r="A479" s="23"/>
    </row>
    <row r="480" spans="1:1" x14ac:dyDescent="0.25">
      <c r="A480" s="23"/>
    </row>
    <row r="481" spans="1:1" x14ac:dyDescent="0.25">
      <c r="A481" s="23"/>
    </row>
    <row r="482" spans="1:1" x14ac:dyDescent="0.25">
      <c r="A482" s="23"/>
    </row>
    <row r="483" spans="1:1" x14ac:dyDescent="0.25">
      <c r="A483" s="23"/>
    </row>
    <row r="484" spans="1:1" x14ac:dyDescent="0.25">
      <c r="A484" s="23"/>
    </row>
    <row r="485" spans="1:1" x14ac:dyDescent="0.25">
      <c r="A485" s="23"/>
    </row>
    <row r="486" spans="1:1" x14ac:dyDescent="0.25">
      <c r="A486" s="23"/>
    </row>
    <row r="487" spans="1:1" x14ac:dyDescent="0.25">
      <c r="A487" s="23"/>
    </row>
    <row r="488" spans="1:1" x14ac:dyDescent="0.25">
      <c r="A488" s="23"/>
    </row>
    <row r="489" spans="1:1" x14ac:dyDescent="0.25">
      <c r="A489" s="23"/>
    </row>
    <row r="490" spans="1:1" x14ac:dyDescent="0.25">
      <c r="A490" s="23"/>
    </row>
    <row r="491" spans="1:1" x14ac:dyDescent="0.25">
      <c r="A491" s="23"/>
    </row>
    <row r="492" spans="1:1" x14ac:dyDescent="0.25">
      <c r="A492" s="23"/>
    </row>
    <row r="493" spans="1:1" x14ac:dyDescent="0.25">
      <c r="A493" s="23"/>
    </row>
    <row r="494" spans="1:1" x14ac:dyDescent="0.25">
      <c r="A494" s="23"/>
    </row>
    <row r="495" spans="1:1" x14ac:dyDescent="0.25">
      <c r="A495" s="23"/>
    </row>
    <row r="496" spans="1:1" x14ac:dyDescent="0.25">
      <c r="A496" s="23"/>
    </row>
    <row r="497" spans="1:1" x14ac:dyDescent="0.25">
      <c r="A497" s="23"/>
    </row>
    <row r="498" spans="1:1" x14ac:dyDescent="0.25">
      <c r="A498" s="23"/>
    </row>
    <row r="499" spans="1:1" x14ac:dyDescent="0.25">
      <c r="A499" s="23"/>
    </row>
    <row r="500" spans="1:1" x14ac:dyDescent="0.25">
      <c r="A500" s="23"/>
    </row>
    <row r="501" spans="1:1" x14ac:dyDescent="0.25">
      <c r="A501" s="23"/>
    </row>
    <row r="502" spans="1:1" x14ac:dyDescent="0.25">
      <c r="A502" s="23"/>
    </row>
    <row r="503" spans="1:1" x14ac:dyDescent="0.25">
      <c r="A503" s="23"/>
    </row>
    <row r="504" spans="1:1" x14ac:dyDescent="0.25">
      <c r="A504" s="23"/>
    </row>
    <row r="505" spans="1:1" x14ac:dyDescent="0.25">
      <c r="A505" s="23"/>
    </row>
    <row r="506" spans="1:1" x14ac:dyDescent="0.25">
      <c r="A506" s="23"/>
    </row>
    <row r="507" spans="1:1" x14ac:dyDescent="0.25">
      <c r="A507" s="23"/>
    </row>
    <row r="508" spans="1:1" x14ac:dyDescent="0.25">
      <c r="A508" s="23"/>
    </row>
    <row r="509" spans="1:1" x14ac:dyDescent="0.25">
      <c r="A509" s="23"/>
    </row>
    <row r="510" spans="1:1" x14ac:dyDescent="0.25">
      <c r="A510" s="23"/>
    </row>
    <row r="511" spans="1:1" x14ac:dyDescent="0.25">
      <c r="A511" s="23"/>
    </row>
    <row r="512" spans="1:1" x14ac:dyDescent="0.25">
      <c r="A512" s="23"/>
    </row>
    <row r="513" spans="1:1" x14ac:dyDescent="0.25">
      <c r="A513" s="23"/>
    </row>
    <row r="514" spans="1:1" x14ac:dyDescent="0.25">
      <c r="A514" s="23"/>
    </row>
    <row r="515" spans="1:1" x14ac:dyDescent="0.25">
      <c r="A515" s="23"/>
    </row>
    <row r="516" spans="1:1" x14ac:dyDescent="0.25">
      <c r="A516" s="23"/>
    </row>
    <row r="517" spans="1:1" x14ac:dyDescent="0.25">
      <c r="A517" s="23"/>
    </row>
    <row r="518" spans="1:1" x14ac:dyDescent="0.25">
      <c r="A518" s="23"/>
    </row>
    <row r="519" spans="1:1" x14ac:dyDescent="0.25">
      <c r="A519" s="23"/>
    </row>
    <row r="520" spans="1:1" x14ac:dyDescent="0.25">
      <c r="A520" s="23"/>
    </row>
    <row r="521" spans="1:1" x14ac:dyDescent="0.25">
      <c r="A521" s="23"/>
    </row>
    <row r="522" spans="1:1" x14ac:dyDescent="0.25">
      <c r="A522" s="23"/>
    </row>
    <row r="523" spans="1:1" x14ac:dyDescent="0.25">
      <c r="A523" s="23"/>
    </row>
    <row r="524" spans="1:1" x14ac:dyDescent="0.25">
      <c r="A524" s="23"/>
    </row>
    <row r="525" spans="1:1" x14ac:dyDescent="0.25">
      <c r="A525" s="23"/>
    </row>
    <row r="526" spans="1:1" x14ac:dyDescent="0.25">
      <c r="A526" s="23"/>
    </row>
    <row r="527" spans="1:1" x14ac:dyDescent="0.25">
      <c r="A527" s="23"/>
    </row>
    <row r="528" spans="1:1" x14ac:dyDescent="0.25">
      <c r="A528" s="23"/>
    </row>
    <row r="529" spans="1:1" x14ac:dyDescent="0.25">
      <c r="A529" s="23"/>
    </row>
    <row r="530" spans="1:1" x14ac:dyDescent="0.25">
      <c r="A530" s="23"/>
    </row>
    <row r="531" spans="1:1" x14ac:dyDescent="0.25">
      <c r="A531" s="23"/>
    </row>
    <row r="532" spans="1:1" x14ac:dyDescent="0.25">
      <c r="A532" s="23"/>
    </row>
    <row r="533" spans="1:1" x14ac:dyDescent="0.25">
      <c r="A533" s="23"/>
    </row>
    <row r="534" spans="1:1" x14ac:dyDescent="0.25">
      <c r="A534" s="23"/>
    </row>
    <row r="535" spans="1:1" x14ac:dyDescent="0.25">
      <c r="A535" s="23"/>
    </row>
    <row r="536" spans="1:1" x14ac:dyDescent="0.25">
      <c r="A536" s="23"/>
    </row>
    <row r="537" spans="1:1" x14ac:dyDescent="0.25">
      <c r="A537" s="23"/>
    </row>
    <row r="538" spans="1:1" x14ac:dyDescent="0.25">
      <c r="A538" s="23"/>
    </row>
    <row r="539" spans="1:1" x14ac:dyDescent="0.25">
      <c r="A539" s="23"/>
    </row>
    <row r="540" spans="1:1" x14ac:dyDescent="0.25">
      <c r="A540" s="23"/>
    </row>
    <row r="541" spans="1:1" x14ac:dyDescent="0.25">
      <c r="A541" s="23"/>
    </row>
    <row r="542" spans="1:1" x14ac:dyDescent="0.25">
      <c r="A542" s="23"/>
    </row>
    <row r="543" spans="1:1" x14ac:dyDescent="0.25">
      <c r="A543" s="23"/>
    </row>
    <row r="544" spans="1:1" x14ac:dyDescent="0.25">
      <c r="A544" s="23"/>
    </row>
    <row r="545" spans="1:1" x14ac:dyDescent="0.25">
      <c r="A545" s="23"/>
    </row>
    <row r="546" spans="1:1" x14ac:dyDescent="0.25">
      <c r="A546" s="23"/>
    </row>
    <row r="547" spans="1:1" x14ac:dyDescent="0.25">
      <c r="A547" s="23"/>
    </row>
    <row r="548" spans="1:1" x14ac:dyDescent="0.25">
      <c r="A548" s="23"/>
    </row>
    <row r="549" spans="1:1" x14ac:dyDescent="0.25">
      <c r="A549" s="23"/>
    </row>
    <row r="550" spans="1:1" x14ac:dyDescent="0.25">
      <c r="A550" s="23"/>
    </row>
    <row r="551" spans="1:1" x14ac:dyDescent="0.25">
      <c r="A551" s="23"/>
    </row>
    <row r="552" spans="1:1" x14ac:dyDescent="0.25">
      <c r="A552" s="23"/>
    </row>
    <row r="553" spans="1:1" x14ac:dyDescent="0.25">
      <c r="A553" s="23"/>
    </row>
    <row r="554" spans="1:1" x14ac:dyDescent="0.25">
      <c r="A554" s="23"/>
    </row>
    <row r="555" spans="1:1" x14ac:dyDescent="0.25">
      <c r="A555" s="23"/>
    </row>
    <row r="556" spans="1:1" x14ac:dyDescent="0.25">
      <c r="A556" s="23"/>
    </row>
    <row r="557" spans="1:1" x14ac:dyDescent="0.25">
      <c r="A557" s="23"/>
    </row>
    <row r="558" spans="1:1" x14ac:dyDescent="0.25">
      <c r="A558" s="23"/>
    </row>
    <row r="559" spans="1:1" x14ac:dyDescent="0.25">
      <c r="A559" s="23"/>
    </row>
    <row r="560" spans="1:1" x14ac:dyDescent="0.25">
      <c r="A560" s="23"/>
    </row>
    <row r="561" spans="1:1" x14ac:dyDescent="0.25">
      <c r="A561" s="23"/>
    </row>
    <row r="562" spans="1:1" x14ac:dyDescent="0.25">
      <c r="A562" s="23"/>
    </row>
    <row r="563" spans="1:1" x14ac:dyDescent="0.25">
      <c r="A563" s="23"/>
    </row>
    <row r="564" spans="1:1" x14ac:dyDescent="0.25">
      <c r="A564" s="23"/>
    </row>
    <row r="565" spans="1:1" x14ac:dyDescent="0.25">
      <c r="A565" s="23"/>
    </row>
    <row r="566" spans="1:1" x14ac:dyDescent="0.25">
      <c r="A566" s="23"/>
    </row>
    <row r="567" spans="1:1" x14ac:dyDescent="0.25">
      <c r="A567" s="23"/>
    </row>
    <row r="568" spans="1:1" x14ac:dyDescent="0.25">
      <c r="A568" s="23"/>
    </row>
    <row r="569" spans="1:1" x14ac:dyDescent="0.25">
      <c r="A569" s="23"/>
    </row>
    <row r="570" spans="1:1" x14ac:dyDescent="0.25">
      <c r="A570" s="23"/>
    </row>
    <row r="571" spans="1:1" x14ac:dyDescent="0.25">
      <c r="A571" s="23"/>
    </row>
    <row r="572" spans="1:1" x14ac:dyDescent="0.25">
      <c r="A572" s="23"/>
    </row>
    <row r="573" spans="1:1" x14ac:dyDescent="0.25">
      <c r="A573" s="23"/>
    </row>
    <row r="574" spans="1:1" x14ac:dyDescent="0.25">
      <c r="A574" s="23"/>
    </row>
    <row r="575" spans="1:1" x14ac:dyDescent="0.25">
      <c r="A575" s="23"/>
    </row>
    <row r="576" spans="1:1" x14ac:dyDescent="0.25">
      <c r="A576" s="23"/>
    </row>
    <row r="577" spans="1:1" x14ac:dyDescent="0.25">
      <c r="A577" s="23"/>
    </row>
    <row r="578" spans="1:1" x14ac:dyDescent="0.25">
      <c r="A578" s="23"/>
    </row>
    <row r="579" spans="1:1" x14ac:dyDescent="0.25">
      <c r="A579" s="23"/>
    </row>
    <row r="580" spans="1:1" x14ac:dyDescent="0.25">
      <c r="A580" s="23"/>
    </row>
    <row r="581" spans="1:1" x14ac:dyDescent="0.25">
      <c r="A581" s="23"/>
    </row>
    <row r="582" spans="1:1" x14ac:dyDescent="0.25">
      <c r="A582" s="23"/>
    </row>
    <row r="583" spans="1:1" x14ac:dyDescent="0.25">
      <c r="A583" s="23"/>
    </row>
    <row r="584" spans="1:1" x14ac:dyDescent="0.25">
      <c r="A584" s="23"/>
    </row>
    <row r="585" spans="1:1" x14ac:dyDescent="0.25">
      <c r="A585" s="23"/>
    </row>
    <row r="586" spans="1:1" x14ac:dyDescent="0.25">
      <c r="A586" s="23"/>
    </row>
    <row r="587" spans="1:1" x14ac:dyDescent="0.25">
      <c r="A587" s="23"/>
    </row>
    <row r="588" spans="1:1" x14ac:dyDescent="0.25">
      <c r="A588" s="23"/>
    </row>
    <row r="589" spans="1:1" x14ac:dyDescent="0.25">
      <c r="A589" s="23"/>
    </row>
    <row r="590" spans="1:1" x14ac:dyDescent="0.25">
      <c r="A590" s="23"/>
    </row>
    <row r="591" spans="1:1" x14ac:dyDescent="0.25">
      <c r="A591" s="23"/>
    </row>
    <row r="592" spans="1:1" x14ac:dyDescent="0.25">
      <c r="A592" s="23"/>
    </row>
    <row r="593" spans="1:1" x14ac:dyDescent="0.25">
      <c r="A593" s="23"/>
    </row>
    <row r="594" spans="1:1" x14ac:dyDescent="0.25">
      <c r="A594" s="23"/>
    </row>
    <row r="595" spans="1:1" x14ac:dyDescent="0.25">
      <c r="A595" s="23"/>
    </row>
    <row r="596" spans="1:1" x14ac:dyDescent="0.25">
      <c r="A596" s="23"/>
    </row>
    <row r="597" spans="1:1" x14ac:dyDescent="0.25">
      <c r="A597" s="23"/>
    </row>
    <row r="598" spans="1:1" x14ac:dyDescent="0.25">
      <c r="A598" s="23"/>
    </row>
    <row r="599" spans="1:1" x14ac:dyDescent="0.25">
      <c r="A599" s="23"/>
    </row>
    <row r="600" spans="1:1" x14ac:dyDescent="0.25">
      <c r="A600" s="23"/>
    </row>
    <row r="601" spans="1:1" x14ac:dyDescent="0.25">
      <c r="A601" s="23"/>
    </row>
    <row r="602" spans="1:1" x14ac:dyDescent="0.25">
      <c r="A602" s="23"/>
    </row>
    <row r="603" spans="1:1" x14ac:dyDescent="0.25">
      <c r="A603" s="23"/>
    </row>
    <row r="604" spans="1:1" x14ac:dyDescent="0.25">
      <c r="A604" s="23"/>
    </row>
    <row r="605" spans="1:1" x14ac:dyDescent="0.25">
      <c r="A605" s="23"/>
    </row>
    <row r="606" spans="1:1" x14ac:dyDescent="0.25">
      <c r="A606" s="23"/>
    </row>
    <row r="607" spans="1:1" x14ac:dyDescent="0.25">
      <c r="A607" s="23"/>
    </row>
    <row r="608" spans="1:1" x14ac:dyDescent="0.25">
      <c r="A608" s="23"/>
    </row>
    <row r="609" spans="1:1" x14ac:dyDescent="0.25">
      <c r="A609" s="23"/>
    </row>
    <row r="610" spans="1:1" x14ac:dyDescent="0.25">
      <c r="A610" s="23"/>
    </row>
    <row r="611" spans="1:1" x14ac:dyDescent="0.25">
      <c r="A611" s="23"/>
    </row>
    <row r="612" spans="1:1" x14ac:dyDescent="0.25">
      <c r="A612" s="23"/>
    </row>
    <row r="613" spans="1:1" x14ac:dyDescent="0.25">
      <c r="A613" s="23"/>
    </row>
    <row r="614" spans="1:1" x14ac:dyDescent="0.25">
      <c r="A614" s="23"/>
    </row>
    <row r="615" spans="1:1" x14ac:dyDescent="0.25">
      <c r="A615" s="23"/>
    </row>
    <row r="616" spans="1:1" x14ac:dyDescent="0.25">
      <c r="A616" s="23"/>
    </row>
    <row r="617" spans="1:1" x14ac:dyDescent="0.25">
      <c r="A617" s="23"/>
    </row>
    <row r="618" spans="1:1" x14ac:dyDescent="0.25">
      <c r="A618" s="23"/>
    </row>
    <row r="619" spans="1:1" x14ac:dyDescent="0.25">
      <c r="A619" s="23"/>
    </row>
    <row r="620" spans="1:1" x14ac:dyDescent="0.25">
      <c r="A620" s="23"/>
    </row>
    <row r="621" spans="1:1" x14ac:dyDescent="0.25">
      <c r="A621" s="23"/>
    </row>
    <row r="622" spans="1:1" x14ac:dyDescent="0.25">
      <c r="A622" s="23"/>
    </row>
    <row r="623" spans="1:1" x14ac:dyDescent="0.25">
      <c r="A623" s="23"/>
    </row>
    <row r="624" spans="1:1" x14ac:dyDescent="0.25">
      <c r="A624" s="23"/>
    </row>
    <row r="625" spans="1:1" x14ac:dyDescent="0.25">
      <c r="A625" s="23"/>
    </row>
    <row r="626" spans="1:1" x14ac:dyDescent="0.25">
      <c r="A626" s="23"/>
    </row>
    <row r="627" spans="1:1" x14ac:dyDescent="0.25">
      <c r="A627" s="23"/>
    </row>
    <row r="628" spans="1:1" x14ac:dyDescent="0.25">
      <c r="A628" s="23"/>
    </row>
    <row r="629" spans="1:1" x14ac:dyDescent="0.25">
      <c r="A629" s="23"/>
    </row>
    <row r="630" spans="1:1" x14ac:dyDescent="0.25">
      <c r="A630" s="23"/>
    </row>
    <row r="631" spans="1:1" x14ac:dyDescent="0.25">
      <c r="A631" s="23"/>
    </row>
    <row r="632" spans="1:1" x14ac:dyDescent="0.25">
      <c r="A632" s="23"/>
    </row>
    <row r="633" spans="1:1" x14ac:dyDescent="0.25">
      <c r="A633" s="23"/>
    </row>
    <row r="634" spans="1:1" x14ac:dyDescent="0.25">
      <c r="A634" s="23"/>
    </row>
    <row r="635" spans="1:1" x14ac:dyDescent="0.25">
      <c r="A635" s="23"/>
    </row>
    <row r="636" spans="1:1" x14ac:dyDescent="0.25">
      <c r="A636" s="23"/>
    </row>
    <row r="637" spans="1:1" x14ac:dyDescent="0.25">
      <c r="A637" s="23"/>
    </row>
    <row r="638" spans="1:1" x14ac:dyDescent="0.25">
      <c r="A638" s="23"/>
    </row>
    <row r="639" spans="1:1" x14ac:dyDescent="0.25">
      <c r="A639" s="23"/>
    </row>
    <row r="640" spans="1:1" x14ac:dyDescent="0.25">
      <c r="A640" s="23"/>
    </row>
    <row r="641" spans="1:1" x14ac:dyDescent="0.25">
      <c r="A641" s="23"/>
    </row>
    <row r="642" spans="1:1" x14ac:dyDescent="0.25">
      <c r="A642" s="23"/>
    </row>
    <row r="643" spans="1:1" x14ac:dyDescent="0.25">
      <c r="A643" s="23"/>
    </row>
    <row r="644" spans="1:1" x14ac:dyDescent="0.25">
      <c r="A644" s="23"/>
    </row>
    <row r="645" spans="1:1" x14ac:dyDescent="0.25">
      <c r="A645" s="23"/>
    </row>
    <row r="646" spans="1:1" x14ac:dyDescent="0.25">
      <c r="A646" s="23"/>
    </row>
    <row r="647" spans="1:1" x14ac:dyDescent="0.25">
      <c r="A647" s="23"/>
    </row>
    <row r="648" spans="1:1" x14ac:dyDescent="0.25">
      <c r="A648" s="23"/>
    </row>
    <row r="649" spans="1:1" x14ac:dyDescent="0.25">
      <c r="A649" s="23"/>
    </row>
    <row r="650" spans="1:1" x14ac:dyDescent="0.25">
      <c r="A650" s="23"/>
    </row>
    <row r="651" spans="1:1" x14ac:dyDescent="0.25">
      <c r="A651" s="23"/>
    </row>
    <row r="652" spans="1:1" x14ac:dyDescent="0.25">
      <c r="A652" s="23"/>
    </row>
    <row r="653" spans="1:1" x14ac:dyDescent="0.25">
      <c r="A653" s="23"/>
    </row>
    <row r="654" spans="1:1" x14ac:dyDescent="0.25">
      <c r="A654" s="23"/>
    </row>
    <row r="655" spans="1:1" x14ac:dyDescent="0.25">
      <c r="A655" s="23"/>
    </row>
    <row r="656" spans="1:1" x14ac:dyDescent="0.25">
      <c r="A656" s="23"/>
    </row>
    <row r="657" spans="1:1" x14ac:dyDescent="0.25">
      <c r="A657" s="23"/>
    </row>
    <row r="658" spans="1:1" x14ac:dyDescent="0.25">
      <c r="A658" s="23"/>
    </row>
    <row r="659" spans="1:1" x14ac:dyDescent="0.25">
      <c r="A659" s="23"/>
    </row>
    <row r="660" spans="1:1" x14ac:dyDescent="0.25">
      <c r="A660" s="23"/>
    </row>
    <row r="661" spans="1:1" x14ac:dyDescent="0.25">
      <c r="A661" s="23"/>
    </row>
    <row r="662" spans="1:1" x14ac:dyDescent="0.25">
      <c r="A662" s="23"/>
    </row>
    <row r="663" spans="1:1" x14ac:dyDescent="0.25">
      <c r="A663" s="23"/>
    </row>
    <row r="664" spans="1:1" x14ac:dyDescent="0.25">
      <c r="A664" s="23"/>
    </row>
    <row r="665" spans="1:1" x14ac:dyDescent="0.25">
      <c r="A665" s="23"/>
    </row>
    <row r="666" spans="1:1" x14ac:dyDescent="0.25">
      <c r="A666" s="23"/>
    </row>
    <row r="667" spans="1:1" x14ac:dyDescent="0.25">
      <c r="A667" s="23"/>
    </row>
    <row r="668" spans="1:1" x14ac:dyDescent="0.25">
      <c r="A668" s="23"/>
    </row>
    <row r="669" spans="1:1" x14ac:dyDescent="0.25">
      <c r="A669" s="23"/>
    </row>
    <row r="670" spans="1:1" x14ac:dyDescent="0.25">
      <c r="A670" s="23"/>
    </row>
    <row r="671" spans="1:1" x14ac:dyDescent="0.25">
      <c r="A671" s="23"/>
    </row>
    <row r="672" spans="1:1" x14ac:dyDescent="0.25">
      <c r="A672" s="23"/>
    </row>
    <row r="673" spans="1:1" x14ac:dyDescent="0.25">
      <c r="A673" s="23"/>
    </row>
    <row r="674" spans="1:1" x14ac:dyDescent="0.25">
      <c r="A674" s="23"/>
    </row>
    <row r="675" spans="1:1" x14ac:dyDescent="0.25">
      <c r="A675" s="23"/>
    </row>
    <row r="676" spans="1:1" x14ac:dyDescent="0.25">
      <c r="A676" s="23"/>
    </row>
    <row r="677" spans="1:1" x14ac:dyDescent="0.25">
      <c r="A677" s="23"/>
    </row>
    <row r="678" spans="1:1" x14ac:dyDescent="0.25">
      <c r="A678" s="23"/>
    </row>
    <row r="679" spans="1:1" x14ac:dyDescent="0.25">
      <c r="A679" s="23"/>
    </row>
    <row r="680" spans="1:1" x14ac:dyDescent="0.25">
      <c r="A680" s="23"/>
    </row>
    <row r="681" spans="1:1" x14ac:dyDescent="0.25">
      <c r="A681" s="23"/>
    </row>
    <row r="682" spans="1:1" x14ac:dyDescent="0.25">
      <c r="A682" s="23"/>
    </row>
    <row r="683" spans="1:1" x14ac:dyDescent="0.25">
      <c r="A683" s="23"/>
    </row>
    <row r="684" spans="1:1" x14ac:dyDescent="0.25">
      <c r="A684" s="23"/>
    </row>
    <row r="685" spans="1:1" x14ac:dyDescent="0.25">
      <c r="A685" s="23"/>
    </row>
    <row r="686" spans="1:1" x14ac:dyDescent="0.25">
      <c r="A686" s="23"/>
    </row>
    <row r="687" spans="1:1" x14ac:dyDescent="0.25">
      <c r="A687" s="23"/>
    </row>
    <row r="688" spans="1:1" x14ac:dyDescent="0.25">
      <c r="A688" s="23"/>
    </row>
    <row r="689" spans="1:1" x14ac:dyDescent="0.25">
      <c r="A689" s="23"/>
    </row>
    <row r="690" spans="1:1" x14ac:dyDescent="0.25">
      <c r="A690" s="23"/>
    </row>
    <row r="691" spans="1:1" x14ac:dyDescent="0.25">
      <c r="A691" s="23"/>
    </row>
    <row r="692" spans="1:1" x14ac:dyDescent="0.25">
      <c r="A692" s="23"/>
    </row>
    <row r="693" spans="1:1" x14ac:dyDescent="0.25">
      <c r="A693" s="23"/>
    </row>
    <row r="694" spans="1:1" x14ac:dyDescent="0.25">
      <c r="A694" s="23"/>
    </row>
    <row r="695" spans="1:1" x14ac:dyDescent="0.25">
      <c r="A695" s="23"/>
    </row>
    <row r="696" spans="1:1" x14ac:dyDescent="0.25">
      <c r="A696" s="23"/>
    </row>
    <row r="697" spans="1:1" x14ac:dyDescent="0.25">
      <c r="A697" s="23"/>
    </row>
    <row r="698" spans="1:1" x14ac:dyDescent="0.25">
      <c r="A698" s="23"/>
    </row>
    <row r="699" spans="1:1" x14ac:dyDescent="0.25">
      <c r="A699" s="23"/>
    </row>
    <row r="700" spans="1:1" x14ac:dyDescent="0.25">
      <c r="A700" s="23"/>
    </row>
    <row r="701" spans="1:1" x14ac:dyDescent="0.25">
      <c r="A701" s="23"/>
    </row>
    <row r="702" spans="1:1" x14ac:dyDescent="0.25">
      <c r="A702" s="23"/>
    </row>
    <row r="703" spans="1:1" x14ac:dyDescent="0.25">
      <c r="A703" s="23"/>
    </row>
    <row r="704" spans="1:1" x14ac:dyDescent="0.25">
      <c r="A704" s="23"/>
    </row>
    <row r="705" spans="1:1" x14ac:dyDescent="0.25">
      <c r="A705" s="23"/>
    </row>
    <row r="706" spans="1:1" x14ac:dyDescent="0.25">
      <c r="A706" s="23"/>
    </row>
    <row r="707" spans="1:1" x14ac:dyDescent="0.25">
      <c r="A707" s="23"/>
    </row>
    <row r="708" spans="1:1" x14ac:dyDescent="0.25">
      <c r="A708" s="23"/>
    </row>
    <row r="709" spans="1:1" x14ac:dyDescent="0.25">
      <c r="A709" s="23"/>
    </row>
    <row r="710" spans="1:1" x14ac:dyDescent="0.25">
      <c r="A710" s="23"/>
    </row>
    <row r="711" spans="1:1" x14ac:dyDescent="0.25">
      <c r="A711" s="23"/>
    </row>
    <row r="712" spans="1:1" x14ac:dyDescent="0.25">
      <c r="A712" s="23"/>
    </row>
    <row r="713" spans="1:1" x14ac:dyDescent="0.25">
      <c r="A713" s="23"/>
    </row>
    <row r="714" spans="1:1" x14ac:dyDescent="0.25">
      <c r="A714" s="23"/>
    </row>
    <row r="715" spans="1:1" x14ac:dyDescent="0.25">
      <c r="A715" s="23"/>
    </row>
    <row r="716" spans="1:1" x14ac:dyDescent="0.25">
      <c r="A716" s="23"/>
    </row>
    <row r="717" spans="1:1" x14ac:dyDescent="0.25">
      <c r="A717" s="23"/>
    </row>
    <row r="718" spans="1:1" x14ac:dyDescent="0.25">
      <c r="A718" s="23"/>
    </row>
    <row r="719" spans="1:1" x14ac:dyDescent="0.25">
      <c r="A719" s="23"/>
    </row>
    <row r="720" spans="1:1" x14ac:dyDescent="0.25">
      <c r="A720" s="23"/>
    </row>
    <row r="721" spans="1:1" x14ac:dyDescent="0.25">
      <c r="A721" s="23"/>
    </row>
    <row r="722" spans="1:1" x14ac:dyDescent="0.25">
      <c r="A722" s="23"/>
    </row>
    <row r="723" spans="1:1" x14ac:dyDescent="0.25">
      <c r="A723" s="23"/>
    </row>
    <row r="724" spans="1:1" x14ac:dyDescent="0.25">
      <c r="A724" s="23"/>
    </row>
    <row r="725" spans="1:1" x14ac:dyDescent="0.25">
      <c r="A725" s="23"/>
    </row>
    <row r="726" spans="1:1" x14ac:dyDescent="0.25">
      <c r="A726" s="23"/>
    </row>
    <row r="727" spans="1:1" x14ac:dyDescent="0.25">
      <c r="A727" s="23"/>
    </row>
    <row r="728" spans="1:1" x14ac:dyDescent="0.25">
      <c r="A728" s="23"/>
    </row>
    <row r="729" spans="1:1" x14ac:dyDescent="0.25">
      <c r="A729" s="23"/>
    </row>
    <row r="730" spans="1:1" x14ac:dyDescent="0.25">
      <c r="A730" s="23"/>
    </row>
    <row r="731" spans="1:1" x14ac:dyDescent="0.25">
      <c r="A731" s="23"/>
    </row>
    <row r="732" spans="1:1" x14ac:dyDescent="0.25">
      <c r="A732" s="23"/>
    </row>
    <row r="733" spans="1:1" x14ac:dyDescent="0.25">
      <c r="A733" s="23"/>
    </row>
    <row r="734" spans="1:1" x14ac:dyDescent="0.25">
      <c r="A734" s="23"/>
    </row>
    <row r="735" spans="1:1" x14ac:dyDescent="0.25">
      <c r="A735" s="23"/>
    </row>
    <row r="736" spans="1:1" x14ac:dyDescent="0.25">
      <c r="A736" s="23"/>
    </row>
    <row r="737" spans="1:1" x14ac:dyDescent="0.25">
      <c r="A737" s="23"/>
    </row>
    <row r="738" spans="1:1" x14ac:dyDescent="0.25">
      <c r="A738" s="23"/>
    </row>
    <row r="739" spans="1:1" x14ac:dyDescent="0.25">
      <c r="A739" s="23"/>
    </row>
    <row r="740" spans="1:1" x14ac:dyDescent="0.25">
      <c r="A740" s="23"/>
    </row>
    <row r="741" spans="1:1" x14ac:dyDescent="0.25">
      <c r="A741" s="23"/>
    </row>
    <row r="742" spans="1:1" x14ac:dyDescent="0.25">
      <c r="A742" s="23"/>
    </row>
    <row r="743" spans="1:1" x14ac:dyDescent="0.25">
      <c r="A743" s="23"/>
    </row>
    <row r="744" spans="1:1" x14ac:dyDescent="0.25">
      <c r="A744" s="23"/>
    </row>
    <row r="745" spans="1:1" x14ac:dyDescent="0.25">
      <c r="A745" s="23"/>
    </row>
    <row r="746" spans="1:1" x14ac:dyDescent="0.25">
      <c r="A746" s="23"/>
    </row>
    <row r="747" spans="1:1" x14ac:dyDescent="0.25">
      <c r="A747" s="23"/>
    </row>
    <row r="748" spans="1:1" x14ac:dyDescent="0.25">
      <c r="A748" s="23"/>
    </row>
    <row r="749" spans="1:1" x14ac:dyDescent="0.25">
      <c r="A749" s="23"/>
    </row>
    <row r="750" spans="1:1" x14ac:dyDescent="0.25">
      <c r="A750" s="23"/>
    </row>
    <row r="751" spans="1:1" x14ac:dyDescent="0.25">
      <c r="A751" s="23"/>
    </row>
    <row r="752" spans="1:1" x14ac:dyDescent="0.25">
      <c r="A752" s="23"/>
    </row>
    <row r="753" spans="1:1" x14ac:dyDescent="0.25">
      <c r="A753" s="23"/>
    </row>
    <row r="754" spans="1:1" x14ac:dyDescent="0.25">
      <c r="A754" s="23"/>
    </row>
    <row r="755" spans="1:1" x14ac:dyDescent="0.25">
      <c r="A755" s="23"/>
    </row>
    <row r="756" spans="1:1" x14ac:dyDescent="0.25">
      <c r="A756" s="23"/>
    </row>
    <row r="757" spans="1:1" x14ac:dyDescent="0.25">
      <c r="A757" s="23"/>
    </row>
    <row r="758" spans="1:1" x14ac:dyDescent="0.25">
      <c r="A758" s="23"/>
    </row>
    <row r="759" spans="1:1" x14ac:dyDescent="0.25">
      <c r="A759" s="23"/>
    </row>
    <row r="760" spans="1:1" x14ac:dyDescent="0.25">
      <c r="A760" s="23"/>
    </row>
    <row r="761" spans="1:1" x14ac:dyDescent="0.25">
      <c r="A761" s="23"/>
    </row>
    <row r="762" spans="1:1" x14ac:dyDescent="0.25">
      <c r="A762" s="23"/>
    </row>
    <row r="763" spans="1:1" x14ac:dyDescent="0.25">
      <c r="A763" s="23"/>
    </row>
    <row r="764" spans="1:1" x14ac:dyDescent="0.25">
      <c r="A764" s="23"/>
    </row>
    <row r="765" spans="1:1" x14ac:dyDescent="0.25">
      <c r="A765" s="23"/>
    </row>
    <row r="766" spans="1:1" x14ac:dyDescent="0.25">
      <c r="A766" s="23"/>
    </row>
    <row r="767" spans="1:1" x14ac:dyDescent="0.25">
      <c r="A767" s="23"/>
    </row>
    <row r="768" spans="1:1" x14ac:dyDescent="0.25">
      <c r="A768" s="23"/>
    </row>
    <row r="769" spans="1:1" x14ac:dyDescent="0.25">
      <c r="A769" s="23"/>
    </row>
    <row r="770" spans="1:1" x14ac:dyDescent="0.25">
      <c r="A770" s="23"/>
    </row>
    <row r="771" spans="1:1" x14ac:dyDescent="0.25">
      <c r="A771" s="23"/>
    </row>
    <row r="772" spans="1:1" x14ac:dyDescent="0.25">
      <c r="A772" s="23"/>
    </row>
    <row r="773" spans="1:1" x14ac:dyDescent="0.25">
      <c r="A773" s="23"/>
    </row>
    <row r="774" spans="1:1" x14ac:dyDescent="0.25">
      <c r="A774" s="23"/>
    </row>
    <row r="775" spans="1:1" x14ac:dyDescent="0.25">
      <c r="A775" s="23"/>
    </row>
    <row r="776" spans="1:1" x14ac:dyDescent="0.25">
      <c r="A776" s="23"/>
    </row>
    <row r="777" spans="1:1" x14ac:dyDescent="0.25">
      <c r="A777" s="23"/>
    </row>
    <row r="778" spans="1:1" x14ac:dyDescent="0.25">
      <c r="A778" s="23"/>
    </row>
    <row r="779" spans="1:1" x14ac:dyDescent="0.25">
      <c r="A779" s="23"/>
    </row>
    <row r="780" spans="1:1" x14ac:dyDescent="0.25">
      <c r="A780" s="23"/>
    </row>
    <row r="781" spans="1:1" x14ac:dyDescent="0.25">
      <c r="A781" s="23"/>
    </row>
    <row r="782" spans="1:1" x14ac:dyDescent="0.25">
      <c r="A782" s="23"/>
    </row>
    <row r="783" spans="1:1" x14ac:dyDescent="0.25">
      <c r="A783" s="23"/>
    </row>
    <row r="784" spans="1:1" x14ac:dyDescent="0.25">
      <c r="A784" s="23"/>
    </row>
    <row r="785" spans="1:1" x14ac:dyDescent="0.25">
      <c r="A785" s="23"/>
    </row>
    <row r="786" spans="1:1" x14ac:dyDescent="0.25">
      <c r="A786" s="23"/>
    </row>
    <row r="787" spans="1:1" x14ac:dyDescent="0.25">
      <c r="A787" s="23"/>
    </row>
    <row r="788" spans="1:1" x14ac:dyDescent="0.25">
      <c r="A788" s="23"/>
    </row>
    <row r="789" spans="1:1" x14ac:dyDescent="0.25">
      <c r="A789" s="23"/>
    </row>
    <row r="790" spans="1:1" x14ac:dyDescent="0.25">
      <c r="A790" s="23"/>
    </row>
    <row r="791" spans="1:1" x14ac:dyDescent="0.25">
      <c r="A791" s="23"/>
    </row>
    <row r="792" spans="1:1" x14ac:dyDescent="0.25">
      <c r="A792" s="23"/>
    </row>
    <row r="793" spans="1:1" x14ac:dyDescent="0.25">
      <c r="A793" s="23"/>
    </row>
    <row r="794" spans="1:1" x14ac:dyDescent="0.25">
      <c r="A794" s="23"/>
    </row>
    <row r="795" spans="1:1" x14ac:dyDescent="0.25">
      <c r="A795" s="23"/>
    </row>
    <row r="796" spans="1:1" x14ac:dyDescent="0.25">
      <c r="A796" s="23"/>
    </row>
    <row r="797" spans="1:1" x14ac:dyDescent="0.25">
      <c r="A797" s="23"/>
    </row>
    <row r="798" spans="1:1" x14ac:dyDescent="0.25">
      <c r="A798" s="23"/>
    </row>
    <row r="799" spans="1:1" x14ac:dyDescent="0.25">
      <c r="A799" s="23"/>
    </row>
    <row r="800" spans="1:1" x14ac:dyDescent="0.25">
      <c r="A800" s="23"/>
    </row>
    <row r="801" spans="1:1" x14ac:dyDescent="0.25">
      <c r="A801" s="23"/>
    </row>
    <row r="802" spans="1:1" x14ac:dyDescent="0.25">
      <c r="A802" s="23"/>
    </row>
    <row r="803" spans="1:1" x14ac:dyDescent="0.25">
      <c r="A803" s="23"/>
    </row>
    <row r="804" spans="1:1" x14ac:dyDescent="0.25">
      <c r="A804" s="23"/>
    </row>
    <row r="805" spans="1:1" x14ac:dyDescent="0.25">
      <c r="A805" s="23"/>
    </row>
    <row r="806" spans="1:1" x14ac:dyDescent="0.25">
      <c r="A806" s="23"/>
    </row>
    <row r="807" spans="1:1" x14ac:dyDescent="0.25">
      <c r="A807" s="23"/>
    </row>
    <row r="808" spans="1:1" x14ac:dyDescent="0.25">
      <c r="A808" s="23"/>
    </row>
    <row r="809" spans="1:1" x14ac:dyDescent="0.25">
      <c r="A809" s="23"/>
    </row>
    <row r="810" spans="1:1" x14ac:dyDescent="0.25">
      <c r="A810" s="23"/>
    </row>
    <row r="811" spans="1:1" x14ac:dyDescent="0.25">
      <c r="A811" s="23"/>
    </row>
    <row r="812" spans="1:1" x14ac:dyDescent="0.25">
      <c r="A812" s="23"/>
    </row>
    <row r="813" spans="1:1" x14ac:dyDescent="0.25">
      <c r="A813" s="23"/>
    </row>
    <row r="814" spans="1:1" x14ac:dyDescent="0.25">
      <c r="A814" s="23"/>
    </row>
    <row r="815" spans="1:1" x14ac:dyDescent="0.25">
      <c r="A815" s="23"/>
    </row>
    <row r="816" spans="1:1" x14ac:dyDescent="0.25">
      <c r="A816" s="23"/>
    </row>
    <row r="817" spans="1:1" x14ac:dyDescent="0.25">
      <c r="A817" s="23"/>
    </row>
    <row r="818" spans="1:1" x14ac:dyDescent="0.25">
      <c r="A818" s="23"/>
    </row>
    <row r="819" spans="1:1" x14ac:dyDescent="0.25">
      <c r="A819" s="23"/>
    </row>
    <row r="820" spans="1:1" x14ac:dyDescent="0.25">
      <c r="A820" s="23"/>
    </row>
    <row r="821" spans="1:1" x14ac:dyDescent="0.25">
      <c r="A821" s="23"/>
    </row>
    <row r="822" spans="1:1" x14ac:dyDescent="0.25">
      <c r="A822" s="23"/>
    </row>
    <row r="823" spans="1:1" x14ac:dyDescent="0.25">
      <c r="A823" s="23"/>
    </row>
    <row r="824" spans="1:1" x14ac:dyDescent="0.25">
      <c r="A824" s="23"/>
    </row>
    <row r="825" spans="1:1" x14ac:dyDescent="0.25">
      <c r="A825" s="23"/>
    </row>
    <row r="826" spans="1:1" x14ac:dyDescent="0.25">
      <c r="A826" s="23"/>
    </row>
    <row r="827" spans="1:1" x14ac:dyDescent="0.25">
      <c r="A827" s="23"/>
    </row>
    <row r="828" spans="1:1" x14ac:dyDescent="0.25">
      <c r="A828" s="23"/>
    </row>
    <row r="829" spans="1:1" x14ac:dyDescent="0.25">
      <c r="A829" s="23"/>
    </row>
    <row r="830" spans="1:1" x14ac:dyDescent="0.25">
      <c r="A830" s="23"/>
    </row>
    <row r="831" spans="1:1" x14ac:dyDescent="0.25">
      <c r="A831" s="23"/>
    </row>
    <row r="832" spans="1:1" x14ac:dyDescent="0.25">
      <c r="A832" s="23"/>
    </row>
    <row r="833" spans="1:1" x14ac:dyDescent="0.25">
      <c r="A833" s="23"/>
    </row>
    <row r="834" spans="1:1" x14ac:dyDescent="0.25">
      <c r="A834" s="23"/>
    </row>
    <row r="835" spans="1:1" x14ac:dyDescent="0.25">
      <c r="A835" s="23"/>
    </row>
    <row r="836" spans="1:1" x14ac:dyDescent="0.25">
      <c r="A836" s="23"/>
    </row>
    <row r="837" spans="1:1" x14ac:dyDescent="0.25">
      <c r="A837" s="23"/>
    </row>
    <row r="838" spans="1:1" x14ac:dyDescent="0.25">
      <c r="A838" s="23"/>
    </row>
    <row r="839" spans="1:1" x14ac:dyDescent="0.25">
      <c r="A839" s="23"/>
    </row>
    <row r="840" spans="1:1" x14ac:dyDescent="0.25">
      <c r="A840" s="23"/>
    </row>
    <row r="841" spans="1:1" x14ac:dyDescent="0.25">
      <c r="A841" s="23"/>
    </row>
    <row r="842" spans="1:1" x14ac:dyDescent="0.25">
      <c r="A842" s="23"/>
    </row>
    <row r="843" spans="1:1" x14ac:dyDescent="0.25">
      <c r="A843" s="23"/>
    </row>
    <row r="844" spans="1:1" x14ac:dyDescent="0.25">
      <c r="A844" s="23"/>
    </row>
    <row r="845" spans="1:1" x14ac:dyDescent="0.25">
      <c r="A845" s="23"/>
    </row>
    <row r="846" spans="1:1" x14ac:dyDescent="0.25">
      <c r="A846" s="23"/>
    </row>
    <row r="847" spans="1:1" x14ac:dyDescent="0.25">
      <c r="A847" s="23"/>
    </row>
    <row r="848" spans="1:1" x14ac:dyDescent="0.25">
      <c r="A848" s="23"/>
    </row>
    <row r="849" spans="1:1" x14ac:dyDescent="0.25">
      <c r="A849" s="23"/>
    </row>
    <row r="850" spans="1:1" x14ac:dyDescent="0.25">
      <c r="A850" s="23"/>
    </row>
    <row r="851" spans="1:1" x14ac:dyDescent="0.25">
      <c r="A851" s="23"/>
    </row>
    <row r="852" spans="1:1" x14ac:dyDescent="0.25">
      <c r="A852" s="23"/>
    </row>
    <row r="853" spans="1:1" x14ac:dyDescent="0.25">
      <c r="A853" s="23"/>
    </row>
    <row r="854" spans="1:1" x14ac:dyDescent="0.25">
      <c r="A854" s="23"/>
    </row>
    <row r="855" spans="1:1" x14ac:dyDescent="0.25">
      <c r="A855" s="23"/>
    </row>
    <row r="856" spans="1:1" x14ac:dyDescent="0.25">
      <c r="A856" s="23"/>
    </row>
    <row r="857" spans="1:1" x14ac:dyDescent="0.25">
      <c r="A857" s="23"/>
    </row>
    <row r="858" spans="1:1" x14ac:dyDescent="0.25">
      <c r="A858" s="23"/>
    </row>
    <row r="859" spans="1:1" x14ac:dyDescent="0.25">
      <c r="A859" s="23"/>
    </row>
    <row r="860" spans="1:1" x14ac:dyDescent="0.25">
      <c r="A860" s="23"/>
    </row>
    <row r="861" spans="1:1" x14ac:dyDescent="0.25">
      <c r="A861" s="23"/>
    </row>
    <row r="862" spans="1:1" x14ac:dyDescent="0.25">
      <c r="A862" s="23"/>
    </row>
    <row r="863" spans="1:1" x14ac:dyDescent="0.25">
      <c r="A863" s="23"/>
    </row>
    <row r="864" spans="1:1" x14ac:dyDescent="0.25">
      <c r="A864" s="23"/>
    </row>
    <row r="865" spans="1:1" x14ac:dyDescent="0.25">
      <c r="A865" s="23"/>
    </row>
    <row r="866" spans="1:1" x14ac:dyDescent="0.25">
      <c r="A866" s="23"/>
    </row>
    <row r="867" spans="1:1" x14ac:dyDescent="0.25">
      <c r="A867" s="23"/>
    </row>
    <row r="868" spans="1:1" x14ac:dyDescent="0.25">
      <c r="A868" s="23"/>
    </row>
    <row r="869" spans="1:1" x14ac:dyDescent="0.25">
      <c r="A869" s="23"/>
    </row>
    <row r="870" spans="1:1" x14ac:dyDescent="0.25">
      <c r="A870" s="23"/>
    </row>
    <row r="871" spans="1:1" x14ac:dyDescent="0.25">
      <c r="A871" s="23"/>
    </row>
    <row r="872" spans="1:1" x14ac:dyDescent="0.25">
      <c r="A872" s="23"/>
    </row>
    <row r="873" spans="1:1" x14ac:dyDescent="0.25">
      <c r="A873" s="23"/>
    </row>
    <row r="874" spans="1:1" x14ac:dyDescent="0.25">
      <c r="A874" s="23"/>
    </row>
    <row r="875" spans="1:1" x14ac:dyDescent="0.25">
      <c r="A875" s="23"/>
    </row>
    <row r="876" spans="1:1" x14ac:dyDescent="0.25">
      <c r="A876" s="23"/>
    </row>
    <row r="877" spans="1:1" x14ac:dyDescent="0.25">
      <c r="A877" s="23"/>
    </row>
    <row r="878" spans="1:1" x14ac:dyDescent="0.25">
      <c r="A878" s="23"/>
    </row>
    <row r="879" spans="1:1" x14ac:dyDescent="0.25">
      <c r="A879" s="23"/>
    </row>
    <row r="880" spans="1:1" x14ac:dyDescent="0.25">
      <c r="A880" s="23"/>
    </row>
    <row r="881" spans="1:1" x14ac:dyDescent="0.25">
      <c r="A881" s="23"/>
    </row>
    <row r="882" spans="1:1" x14ac:dyDescent="0.25">
      <c r="A882" s="23"/>
    </row>
    <row r="883" spans="1:1" x14ac:dyDescent="0.25">
      <c r="A883" s="23"/>
    </row>
    <row r="884" spans="1:1" x14ac:dyDescent="0.25">
      <c r="A884" s="23"/>
    </row>
    <row r="885" spans="1:1" x14ac:dyDescent="0.25">
      <c r="A885" s="23"/>
    </row>
    <row r="886" spans="1:1" x14ac:dyDescent="0.25">
      <c r="A886" s="23"/>
    </row>
    <row r="887" spans="1:1" x14ac:dyDescent="0.25">
      <c r="A887" s="23"/>
    </row>
    <row r="888" spans="1:1" x14ac:dyDescent="0.25">
      <c r="A888" s="23"/>
    </row>
    <row r="889" spans="1:1" x14ac:dyDescent="0.25">
      <c r="A889" s="23"/>
    </row>
    <row r="890" spans="1:1" x14ac:dyDescent="0.25">
      <c r="A890" s="23"/>
    </row>
    <row r="891" spans="1:1" x14ac:dyDescent="0.25">
      <c r="A891" s="23"/>
    </row>
    <row r="892" spans="1:1" x14ac:dyDescent="0.25">
      <c r="A892" s="23"/>
    </row>
    <row r="893" spans="1:1" x14ac:dyDescent="0.25">
      <c r="A893" s="23"/>
    </row>
    <row r="894" spans="1:1" x14ac:dyDescent="0.25">
      <c r="A894" s="23"/>
    </row>
    <row r="895" spans="1:1" x14ac:dyDescent="0.25">
      <c r="A895" s="23"/>
    </row>
    <row r="896" spans="1:1" x14ac:dyDescent="0.25">
      <c r="A896" s="23"/>
    </row>
    <row r="897" spans="1:1" x14ac:dyDescent="0.25">
      <c r="A897" s="23"/>
    </row>
    <row r="898" spans="1:1" x14ac:dyDescent="0.25">
      <c r="A898" s="23"/>
    </row>
    <row r="899" spans="1:1" x14ac:dyDescent="0.25">
      <c r="A899" s="23"/>
    </row>
    <row r="900" spans="1:1" x14ac:dyDescent="0.25">
      <c r="A900" s="23"/>
    </row>
    <row r="901" spans="1:1" x14ac:dyDescent="0.25">
      <c r="A901" s="23"/>
    </row>
    <row r="902" spans="1:1" x14ac:dyDescent="0.25">
      <c r="A902" s="23"/>
    </row>
    <row r="903" spans="1:1" x14ac:dyDescent="0.25">
      <c r="A903" s="23"/>
    </row>
    <row r="904" spans="1:1" x14ac:dyDescent="0.25">
      <c r="A904" s="23"/>
    </row>
    <row r="905" spans="1:1" x14ac:dyDescent="0.25">
      <c r="A905" s="23"/>
    </row>
    <row r="906" spans="1:1" x14ac:dyDescent="0.25">
      <c r="A906" s="23"/>
    </row>
    <row r="907" spans="1:1" x14ac:dyDescent="0.25">
      <c r="A907" s="23"/>
    </row>
    <row r="908" spans="1:1" x14ac:dyDescent="0.25">
      <c r="A908" s="23"/>
    </row>
    <row r="909" spans="1:1" x14ac:dyDescent="0.25">
      <c r="A909" s="23"/>
    </row>
    <row r="910" spans="1:1" x14ac:dyDescent="0.25">
      <c r="A910" s="23"/>
    </row>
    <row r="911" spans="1:1" x14ac:dyDescent="0.25">
      <c r="A911" s="23"/>
    </row>
    <row r="912" spans="1:1" x14ac:dyDescent="0.25">
      <c r="A912" s="23"/>
    </row>
    <row r="913" spans="1:1" x14ac:dyDescent="0.25">
      <c r="A913" s="23"/>
    </row>
    <row r="914" spans="1:1" x14ac:dyDescent="0.25">
      <c r="A914" s="23"/>
    </row>
    <row r="915" spans="1:1" x14ac:dyDescent="0.25">
      <c r="A915" s="23"/>
    </row>
    <row r="916" spans="1:1" x14ac:dyDescent="0.25">
      <c r="A916" s="23"/>
    </row>
    <row r="917" spans="1:1" x14ac:dyDescent="0.25">
      <c r="A917" s="23"/>
    </row>
    <row r="918" spans="1:1" x14ac:dyDescent="0.25">
      <c r="A918" s="23"/>
    </row>
    <row r="919" spans="1:1" x14ac:dyDescent="0.25">
      <c r="A919" s="23"/>
    </row>
    <row r="920" spans="1:1" x14ac:dyDescent="0.25">
      <c r="A920" s="23"/>
    </row>
    <row r="921" spans="1:1" x14ac:dyDescent="0.25">
      <c r="A921" s="23"/>
    </row>
    <row r="922" spans="1:1" x14ac:dyDescent="0.25">
      <c r="A922" s="23"/>
    </row>
    <row r="923" spans="1:1" x14ac:dyDescent="0.25">
      <c r="A923" s="23"/>
    </row>
    <row r="924" spans="1:1" x14ac:dyDescent="0.25">
      <c r="A924" s="23"/>
    </row>
    <row r="925" spans="1:1" x14ac:dyDescent="0.25">
      <c r="A925" s="23"/>
    </row>
    <row r="926" spans="1:1" x14ac:dyDescent="0.25">
      <c r="A926" s="23"/>
    </row>
    <row r="927" spans="1:1" x14ac:dyDescent="0.25">
      <c r="A927" s="23"/>
    </row>
    <row r="928" spans="1:1" x14ac:dyDescent="0.25">
      <c r="A928" s="23"/>
    </row>
    <row r="929" spans="1:1" x14ac:dyDescent="0.25">
      <c r="A929" s="23"/>
    </row>
    <row r="930" spans="1:1" x14ac:dyDescent="0.25">
      <c r="A930" s="23"/>
    </row>
    <row r="931" spans="1:1" x14ac:dyDescent="0.25">
      <c r="A931" s="23"/>
    </row>
    <row r="932" spans="1:1" x14ac:dyDescent="0.25">
      <c r="A932" s="23"/>
    </row>
    <row r="933" spans="1:1" x14ac:dyDescent="0.25">
      <c r="A933" s="23"/>
    </row>
    <row r="934" spans="1:1" x14ac:dyDescent="0.25">
      <c r="A934" s="23"/>
    </row>
    <row r="935" spans="1:1" x14ac:dyDescent="0.25">
      <c r="A935" s="23"/>
    </row>
    <row r="936" spans="1:1" x14ac:dyDescent="0.25">
      <c r="A936" s="23"/>
    </row>
    <row r="937" spans="1:1" x14ac:dyDescent="0.25">
      <c r="A937" s="23"/>
    </row>
    <row r="938" spans="1:1" x14ac:dyDescent="0.25">
      <c r="A938" s="23"/>
    </row>
    <row r="939" spans="1:1" x14ac:dyDescent="0.25">
      <c r="A939" s="23"/>
    </row>
    <row r="940" spans="1:1" x14ac:dyDescent="0.25">
      <c r="A940" s="23"/>
    </row>
    <row r="941" spans="1:1" x14ac:dyDescent="0.25">
      <c r="A941" s="23"/>
    </row>
    <row r="942" spans="1:1" x14ac:dyDescent="0.25">
      <c r="A942" s="23"/>
    </row>
    <row r="943" spans="1:1" x14ac:dyDescent="0.25">
      <c r="A943" s="23"/>
    </row>
    <row r="944" spans="1:1" x14ac:dyDescent="0.25">
      <c r="A944" s="23"/>
    </row>
    <row r="945" spans="1:1" x14ac:dyDescent="0.25">
      <c r="A945" s="23"/>
    </row>
    <row r="946" spans="1:1" x14ac:dyDescent="0.25">
      <c r="A946" s="23"/>
    </row>
    <row r="947" spans="1:1" x14ac:dyDescent="0.25">
      <c r="A947" s="23"/>
    </row>
    <row r="948" spans="1:1" x14ac:dyDescent="0.25">
      <c r="A948" s="23"/>
    </row>
    <row r="949" spans="1:1" x14ac:dyDescent="0.25">
      <c r="A949" s="23"/>
    </row>
    <row r="950" spans="1:1" x14ac:dyDescent="0.25">
      <c r="A950" s="23"/>
    </row>
    <row r="951" spans="1:1" x14ac:dyDescent="0.25">
      <c r="A951" s="23"/>
    </row>
    <row r="952" spans="1:1" x14ac:dyDescent="0.25">
      <c r="A952" s="23"/>
    </row>
    <row r="953" spans="1:1" x14ac:dyDescent="0.25">
      <c r="A953" s="23"/>
    </row>
    <row r="954" spans="1:1" x14ac:dyDescent="0.25">
      <c r="A954" s="23"/>
    </row>
    <row r="955" spans="1:1" x14ac:dyDescent="0.25">
      <c r="A955" s="23"/>
    </row>
    <row r="956" spans="1:1" x14ac:dyDescent="0.25">
      <c r="A956" s="23"/>
    </row>
    <row r="957" spans="1:1" x14ac:dyDescent="0.25">
      <c r="A957" s="23"/>
    </row>
    <row r="958" spans="1:1" x14ac:dyDescent="0.25">
      <c r="A958" s="23"/>
    </row>
    <row r="959" spans="1:1" x14ac:dyDescent="0.25">
      <c r="A959" s="23"/>
    </row>
    <row r="960" spans="1:1" x14ac:dyDescent="0.25">
      <c r="A960" s="23"/>
    </row>
    <row r="961" spans="1:1" x14ac:dyDescent="0.25">
      <c r="A961" s="23"/>
    </row>
    <row r="962" spans="1:1" x14ac:dyDescent="0.25">
      <c r="A962" s="23"/>
    </row>
    <row r="963" spans="1:1" x14ac:dyDescent="0.25">
      <c r="A963" s="23"/>
    </row>
    <row r="964" spans="1:1" x14ac:dyDescent="0.25">
      <c r="A964" s="23"/>
    </row>
    <row r="965" spans="1:1" x14ac:dyDescent="0.25">
      <c r="A965" s="23"/>
    </row>
    <row r="966" spans="1:1" x14ac:dyDescent="0.25">
      <c r="A966" s="23"/>
    </row>
    <row r="967" spans="1:1" x14ac:dyDescent="0.25">
      <c r="A967" s="23"/>
    </row>
    <row r="968" spans="1:1" x14ac:dyDescent="0.25">
      <c r="A968" s="23"/>
    </row>
    <row r="969" spans="1:1" x14ac:dyDescent="0.25">
      <c r="A969" s="23"/>
    </row>
    <row r="970" spans="1:1" x14ac:dyDescent="0.25">
      <c r="A970" s="23"/>
    </row>
    <row r="971" spans="1:1" x14ac:dyDescent="0.25">
      <c r="A971" s="23"/>
    </row>
    <row r="972" spans="1:1" x14ac:dyDescent="0.25">
      <c r="A972" s="23"/>
    </row>
    <row r="973" spans="1:1" x14ac:dyDescent="0.25">
      <c r="A973" s="23"/>
    </row>
    <row r="974" spans="1:1" x14ac:dyDescent="0.25">
      <c r="A974" s="23"/>
    </row>
    <row r="975" spans="1:1" x14ac:dyDescent="0.25">
      <c r="A975" s="23"/>
    </row>
    <row r="976" spans="1:1" x14ac:dyDescent="0.25">
      <c r="A976" s="23"/>
    </row>
    <row r="977" spans="1:1" x14ac:dyDescent="0.25">
      <c r="A977" s="23"/>
    </row>
    <row r="978" spans="1:1" x14ac:dyDescent="0.25">
      <c r="A978" s="23"/>
    </row>
    <row r="979" spans="1:1" x14ac:dyDescent="0.25">
      <c r="A979" s="23"/>
    </row>
    <row r="980" spans="1:1" x14ac:dyDescent="0.25">
      <c r="A980" s="23"/>
    </row>
    <row r="981" spans="1:1" x14ac:dyDescent="0.25">
      <c r="A981" s="23"/>
    </row>
    <row r="982" spans="1:1" x14ac:dyDescent="0.25">
      <c r="A982" s="23"/>
    </row>
    <row r="983" spans="1:1" x14ac:dyDescent="0.25">
      <c r="A983" s="23"/>
    </row>
    <row r="984" spans="1:1" x14ac:dyDescent="0.25">
      <c r="A984" s="23"/>
    </row>
    <row r="985" spans="1:1" x14ac:dyDescent="0.25">
      <c r="A985" s="23"/>
    </row>
    <row r="986" spans="1:1" x14ac:dyDescent="0.25">
      <c r="A986" s="23"/>
    </row>
    <row r="987" spans="1:1" x14ac:dyDescent="0.25">
      <c r="A987" s="23"/>
    </row>
    <row r="988" spans="1:1" x14ac:dyDescent="0.25">
      <c r="A988" s="23"/>
    </row>
    <row r="989" spans="1:1" x14ac:dyDescent="0.25">
      <c r="A989" s="23"/>
    </row>
    <row r="990" spans="1:1" x14ac:dyDescent="0.25">
      <c r="A990" s="23"/>
    </row>
    <row r="991" spans="1:1" x14ac:dyDescent="0.25">
      <c r="A991" s="23"/>
    </row>
    <row r="992" spans="1:1" x14ac:dyDescent="0.25">
      <c r="A992" s="23"/>
    </row>
    <row r="993" spans="1:1" x14ac:dyDescent="0.25">
      <c r="A993" s="23"/>
    </row>
    <row r="994" spans="1:1" x14ac:dyDescent="0.25">
      <c r="A994" s="23"/>
    </row>
    <row r="995" spans="1:1" x14ac:dyDescent="0.25">
      <c r="A995" s="23"/>
    </row>
    <row r="996" spans="1:1" x14ac:dyDescent="0.25">
      <c r="A996" s="23"/>
    </row>
    <row r="997" spans="1:1" x14ac:dyDescent="0.25">
      <c r="A997" s="23"/>
    </row>
    <row r="998" spans="1:1" x14ac:dyDescent="0.25">
      <c r="A998" s="23"/>
    </row>
    <row r="999" spans="1:1" x14ac:dyDescent="0.25">
      <c r="A999" s="23"/>
    </row>
    <row r="1000" spans="1:1" x14ac:dyDescent="0.25">
      <c r="A1000" s="23"/>
    </row>
    <row r="1001" spans="1:1" x14ac:dyDescent="0.25">
      <c r="A1001" s="23"/>
    </row>
    <row r="1002" spans="1:1" x14ac:dyDescent="0.25">
      <c r="A1002" s="23"/>
    </row>
    <row r="1003" spans="1:1" x14ac:dyDescent="0.25">
      <c r="A1003" s="23"/>
    </row>
    <row r="1004" spans="1:1" x14ac:dyDescent="0.25">
      <c r="A1004" s="23"/>
    </row>
    <row r="1005" spans="1:1" x14ac:dyDescent="0.25">
      <c r="A1005" s="23"/>
    </row>
    <row r="1006" spans="1:1" x14ac:dyDescent="0.25">
      <c r="A1006" s="23"/>
    </row>
    <row r="1007" spans="1:1" x14ac:dyDescent="0.25">
      <c r="A1007" s="23"/>
    </row>
    <row r="1008" spans="1:1" x14ac:dyDescent="0.25">
      <c r="A1008" s="23"/>
    </row>
    <row r="1009" spans="1:1" x14ac:dyDescent="0.25">
      <c r="A1009" s="23"/>
    </row>
    <row r="1010" spans="1:1" x14ac:dyDescent="0.25">
      <c r="A1010" s="23"/>
    </row>
    <row r="1011" spans="1:1" x14ac:dyDescent="0.25">
      <c r="A1011" s="23"/>
    </row>
    <row r="1012" spans="1:1" x14ac:dyDescent="0.25">
      <c r="A1012" s="23"/>
    </row>
    <row r="1013" spans="1:1" x14ac:dyDescent="0.25">
      <c r="A1013" s="23"/>
    </row>
    <row r="1014" spans="1:1" x14ac:dyDescent="0.25">
      <c r="A1014" s="23"/>
    </row>
    <row r="1015" spans="1:1" x14ac:dyDescent="0.25">
      <c r="A1015" s="23"/>
    </row>
    <row r="1016" spans="1:1" x14ac:dyDescent="0.25">
      <c r="A1016" s="23"/>
    </row>
    <row r="1017" spans="1:1" x14ac:dyDescent="0.25">
      <c r="A1017" s="23"/>
    </row>
    <row r="1018" spans="1:1" x14ac:dyDescent="0.25">
      <c r="A1018" s="23"/>
    </row>
    <row r="1019" spans="1:1" x14ac:dyDescent="0.25">
      <c r="A1019" s="23"/>
    </row>
    <row r="1020" spans="1:1" x14ac:dyDescent="0.25">
      <c r="A1020" s="23"/>
    </row>
    <row r="1021" spans="1:1" x14ac:dyDescent="0.25">
      <c r="A1021" s="23"/>
    </row>
    <row r="1022" spans="1:1" x14ac:dyDescent="0.25">
      <c r="A1022" s="23"/>
    </row>
    <row r="1023" spans="1:1" x14ac:dyDescent="0.25">
      <c r="A1023" s="23"/>
    </row>
    <row r="1024" spans="1:1" x14ac:dyDescent="0.25">
      <c r="A1024" s="23"/>
    </row>
    <row r="1025" spans="1:1" x14ac:dyDescent="0.25">
      <c r="A1025" s="23"/>
    </row>
    <row r="1026" spans="1:1" x14ac:dyDescent="0.25">
      <c r="A1026" s="23"/>
    </row>
    <row r="1027" spans="1:1" x14ac:dyDescent="0.25">
      <c r="A1027" s="23"/>
    </row>
    <row r="1028" spans="1:1" x14ac:dyDescent="0.25">
      <c r="A1028" s="23"/>
    </row>
    <row r="1029" spans="1:1" x14ac:dyDescent="0.25">
      <c r="A1029" s="23"/>
    </row>
    <row r="1030" spans="1:1" x14ac:dyDescent="0.25">
      <c r="A1030" s="23"/>
    </row>
    <row r="1031" spans="1:1" x14ac:dyDescent="0.25">
      <c r="A1031" s="23"/>
    </row>
    <row r="1032" spans="1:1" x14ac:dyDescent="0.25">
      <c r="A1032" s="23"/>
    </row>
    <row r="1033" spans="1:1" x14ac:dyDescent="0.25">
      <c r="A1033" s="23"/>
    </row>
    <row r="1034" spans="1:1" x14ac:dyDescent="0.25">
      <c r="A1034" s="23"/>
    </row>
    <row r="1035" spans="1:1" x14ac:dyDescent="0.25">
      <c r="A1035" s="23"/>
    </row>
    <row r="1036" spans="1:1" x14ac:dyDescent="0.25">
      <c r="A1036" s="23"/>
    </row>
    <row r="1037" spans="1:1" x14ac:dyDescent="0.25">
      <c r="A1037" s="23"/>
    </row>
    <row r="1038" spans="1:1" x14ac:dyDescent="0.25">
      <c r="A1038" s="23"/>
    </row>
    <row r="1039" spans="1:1" x14ac:dyDescent="0.25">
      <c r="A1039" s="23"/>
    </row>
    <row r="1040" spans="1:1" x14ac:dyDescent="0.25">
      <c r="A1040" s="23"/>
    </row>
    <row r="1041" spans="1:1" x14ac:dyDescent="0.25">
      <c r="A1041" s="23"/>
    </row>
    <row r="1042" spans="1:1" x14ac:dyDescent="0.25">
      <c r="A1042" s="23"/>
    </row>
    <row r="1043" spans="1:1" x14ac:dyDescent="0.25">
      <c r="A1043" s="23"/>
    </row>
    <row r="1044" spans="1:1" x14ac:dyDescent="0.25">
      <c r="A1044" s="23"/>
    </row>
    <row r="1045" spans="1:1" x14ac:dyDescent="0.25">
      <c r="A1045" s="23"/>
    </row>
    <row r="1046" spans="1:1" x14ac:dyDescent="0.25">
      <c r="A1046" s="23"/>
    </row>
    <row r="1047" spans="1:1" x14ac:dyDescent="0.25">
      <c r="A1047" s="23"/>
    </row>
    <row r="1048" spans="1:1" x14ac:dyDescent="0.25">
      <c r="A1048" s="23"/>
    </row>
    <row r="1049" spans="1:1" x14ac:dyDescent="0.25">
      <c r="A1049" s="23"/>
    </row>
    <row r="1050" spans="1:1" x14ac:dyDescent="0.25">
      <c r="A1050" s="23"/>
    </row>
    <row r="1051" spans="1:1" x14ac:dyDescent="0.25">
      <c r="A1051" s="23"/>
    </row>
    <row r="1052" spans="1:1" x14ac:dyDescent="0.25">
      <c r="A1052" s="23"/>
    </row>
    <row r="1053" spans="1:1" x14ac:dyDescent="0.25">
      <c r="A1053" s="23"/>
    </row>
    <row r="1054" spans="1:1" x14ac:dyDescent="0.25">
      <c r="A1054" s="23"/>
    </row>
    <row r="1055" spans="1:1" x14ac:dyDescent="0.25">
      <c r="A1055" s="23"/>
    </row>
    <row r="1056" spans="1:1" x14ac:dyDescent="0.25">
      <c r="A1056" s="23"/>
    </row>
    <row r="1057" spans="1:1" x14ac:dyDescent="0.25">
      <c r="A1057" s="23"/>
    </row>
    <row r="1058" spans="1:1" x14ac:dyDescent="0.25">
      <c r="A1058" s="23"/>
    </row>
    <row r="1059" spans="1:1" x14ac:dyDescent="0.25">
      <c r="A1059" s="23"/>
    </row>
    <row r="1060" spans="1:1" x14ac:dyDescent="0.25">
      <c r="A1060" s="23"/>
    </row>
    <row r="1061" spans="1:1" x14ac:dyDescent="0.25">
      <c r="A1061" s="23"/>
    </row>
    <row r="1062" spans="1:1" x14ac:dyDescent="0.25">
      <c r="A1062" s="23"/>
    </row>
    <row r="1063" spans="1:1" x14ac:dyDescent="0.25">
      <c r="A1063" s="23"/>
    </row>
    <row r="1064" spans="1:1" x14ac:dyDescent="0.25">
      <c r="A1064" s="23"/>
    </row>
    <row r="1065" spans="1:1" x14ac:dyDescent="0.25">
      <c r="A1065" s="23"/>
    </row>
    <row r="1066" spans="1:1" x14ac:dyDescent="0.25">
      <c r="A1066" s="23"/>
    </row>
    <row r="1067" spans="1:1" x14ac:dyDescent="0.25">
      <c r="A1067" s="23"/>
    </row>
    <row r="1068" spans="1:1" x14ac:dyDescent="0.25">
      <c r="A1068" s="23"/>
    </row>
    <row r="1069" spans="1:1" x14ac:dyDescent="0.25">
      <c r="A1069" s="23"/>
    </row>
    <row r="1070" spans="1:1" x14ac:dyDescent="0.25">
      <c r="A1070" s="23"/>
    </row>
    <row r="1071" spans="1:1" x14ac:dyDescent="0.25">
      <c r="A1071" s="23"/>
    </row>
    <row r="1072" spans="1:1" x14ac:dyDescent="0.25">
      <c r="A1072" s="23"/>
    </row>
    <row r="1073" spans="1:1" x14ac:dyDescent="0.25">
      <c r="A1073" s="23"/>
    </row>
    <row r="1074" spans="1:1" x14ac:dyDescent="0.25">
      <c r="A1074" s="23"/>
    </row>
    <row r="1075" spans="1:1" x14ac:dyDescent="0.25">
      <c r="A1075" s="23"/>
    </row>
    <row r="1076" spans="1:1" x14ac:dyDescent="0.25">
      <c r="A1076" s="23"/>
    </row>
    <row r="1077" spans="1:1" x14ac:dyDescent="0.25">
      <c r="A1077" s="23"/>
    </row>
    <row r="1078" spans="1:1" x14ac:dyDescent="0.25">
      <c r="A1078" s="23"/>
    </row>
    <row r="1079" spans="1:1" x14ac:dyDescent="0.25">
      <c r="A1079" s="23"/>
    </row>
    <row r="1080" spans="1:1" x14ac:dyDescent="0.25">
      <c r="A1080" s="23"/>
    </row>
    <row r="1081" spans="1:1" x14ac:dyDescent="0.25">
      <c r="A1081" s="23"/>
    </row>
    <row r="1082" spans="1:1" x14ac:dyDescent="0.25">
      <c r="A1082" s="23"/>
    </row>
    <row r="1083" spans="1:1" x14ac:dyDescent="0.25">
      <c r="A1083" s="23"/>
    </row>
    <row r="1084" spans="1:1" x14ac:dyDescent="0.25">
      <c r="A1084" s="23"/>
    </row>
    <row r="1085" spans="1:1" x14ac:dyDescent="0.25">
      <c r="A1085" s="23"/>
    </row>
    <row r="1086" spans="1:1" x14ac:dyDescent="0.25">
      <c r="A1086" s="23"/>
    </row>
    <row r="1087" spans="1:1" x14ac:dyDescent="0.25">
      <c r="A1087" s="23"/>
    </row>
    <row r="1088" spans="1:1" x14ac:dyDescent="0.25">
      <c r="A1088" s="23"/>
    </row>
    <row r="1089" spans="1:1" x14ac:dyDescent="0.25">
      <c r="A1089" s="23"/>
    </row>
    <row r="1090" spans="1:1" x14ac:dyDescent="0.25">
      <c r="A1090" s="23"/>
    </row>
    <row r="1091" spans="1:1" x14ac:dyDescent="0.25">
      <c r="A1091" s="23"/>
    </row>
    <row r="1092" spans="1:1" x14ac:dyDescent="0.25">
      <c r="A1092" s="23"/>
    </row>
    <row r="1093" spans="1:1" x14ac:dyDescent="0.25">
      <c r="A1093" s="23"/>
    </row>
    <row r="1094" spans="1:1" x14ac:dyDescent="0.25">
      <c r="A1094" s="23"/>
    </row>
    <row r="1095" spans="1:1" x14ac:dyDescent="0.25">
      <c r="A1095" s="23"/>
    </row>
    <row r="1096" spans="1:1" x14ac:dyDescent="0.25">
      <c r="A1096" s="23"/>
    </row>
    <row r="1097" spans="1:1" x14ac:dyDescent="0.25">
      <c r="A1097" s="23"/>
    </row>
    <row r="1098" spans="1:1" x14ac:dyDescent="0.25">
      <c r="A1098" s="23"/>
    </row>
    <row r="1099" spans="1:1" x14ac:dyDescent="0.25">
      <c r="A1099" s="23"/>
    </row>
    <row r="1100" spans="1:1" x14ac:dyDescent="0.25">
      <c r="A1100" s="23"/>
    </row>
    <row r="1101" spans="1:1" x14ac:dyDescent="0.25">
      <c r="A1101" s="23"/>
    </row>
    <row r="1102" spans="1:1" x14ac:dyDescent="0.25">
      <c r="A1102" s="23"/>
    </row>
    <row r="1103" spans="1:1" x14ac:dyDescent="0.25">
      <c r="A1103" s="23"/>
    </row>
    <row r="1104" spans="1:1" x14ac:dyDescent="0.25">
      <c r="A1104" s="23"/>
    </row>
    <row r="1105" spans="1:1" x14ac:dyDescent="0.25">
      <c r="A1105" s="23"/>
    </row>
    <row r="1106" spans="1:1" x14ac:dyDescent="0.25">
      <c r="A1106" s="23"/>
    </row>
    <row r="1107" spans="1:1" x14ac:dyDescent="0.25">
      <c r="A1107" s="23"/>
    </row>
    <row r="1108" spans="1:1" x14ac:dyDescent="0.25">
      <c r="A1108" s="23"/>
    </row>
    <row r="1109" spans="1:1" x14ac:dyDescent="0.25">
      <c r="A1109" s="23"/>
    </row>
    <row r="1110" spans="1:1" x14ac:dyDescent="0.25">
      <c r="A1110" s="23"/>
    </row>
    <row r="1111" spans="1:1" x14ac:dyDescent="0.25">
      <c r="A1111" s="23"/>
    </row>
    <row r="1112" spans="1:1" x14ac:dyDescent="0.25">
      <c r="A1112" s="23"/>
    </row>
    <row r="1113" spans="1:1" x14ac:dyDescent="0.25">
      <c r="A1113" s="23"/>
    </row>
    <row r="1114" spans="1:1" x14ac:dyDescent="0.25">
      <c r="A1114" s="23"/>
    </row>
    <row r="1115" spans="1:1" x14ac:dyDescent="0.25">
      <c r="A1115" s="23"/>
    </row>
    <row r="1116" spans="1:1" x14ac:dyDescent="0.25">
      <c r="A1116" s="23"/>
    </row>
    <row r="1117" spans="1:1" x14ac:dyDescent="0.25">
      <c r="A1117" s="23"/>
    </row>
    <row r="1118" spans="1:1" x14ac:dyDescent="0.25">
      <c r="A1118" s="23"/>
    </row>
    <row r="1119" spans="1:1" x14ac:dyDescent="0.25">
      <c r="A1119" s="23"/>
    </row>
    <row r="1120" spans="1:1" x14ac:dyDescent="0.25">
      <c r="A1120" s="23"/>
    </row>
    <row r="1121" spans="1:1" x14ac:dyDescent="0.25">
      <c r="A1121" s="23"/>
    </row>
    <row r="1122" spans="1:1" x14ac:dyDescent="0.25">
      <c r="A1122" s="23"/>
    </row>
    <row r="1123" spans="1:1" x14ac:dyDescent="0.25">
      <c r="A1123" s="23"/>
    </row>
    <row r="1124" spans="1:1" x14ac:dyDescent="0.25">
      <c r="A1124" s="23"/>
    </row>
    <row r="1125" spans="1:1" x14ac:dyDescent="0.25">
      <c r="A1125" s="23"/>
    </row>
    <row r="1126" spans="1:1" x14ac:dyDescent="0.25">
      <c r="A1126" s="23"/>
    </row>
    <row r="1127" spans="1:1" x14ac:dyDescent="0.25">
      <c r="A1127" s="23"/>
    </row>
    <row r="1128" spans="1:1" x14ac:dyDescent="0.25">
      <c r="A1128" s="23"/>
    </row>
    <row r="1129" spans="1:1" x14ac:dyDescent="0.25">
      <c r="A1129" s="23"/>
    </row>
    <row r="1130" spans="1:1" x14ac:dyDescent="0.25">
      <c r="A1130" s="23"/>
    </row>
    <row r="1131" spans="1:1" x14ac:dyDescent="0.25">
      <c r="A1131" s="23"/>
    </row>
    <row r="1132" spans="1:1" x14ac:dyDescent="0.25">
      <c r="A1132" s="23"/>
    </row>
    <row r="1133" spans="1:1" x14ac:dyDescent="0.25">
      <c r="A1133" s="23"/>
    </row>
    <row r="1134" spans="1:1" x14ac:dyDescent="0.25">
      <c r="A1134" s="23"/>
    </row>
    <row r="1135" spans="1:1" x14ac:dyDescent="0.25">
      <c r="A1135" s="23"/>
    </row>
    <row r="1136" spans="1:1" x14ac:dyDescent="0.25">
      <c r="A1136" s="23"/>
    </row>
    <row r="1137" spans="1:1" x14ac:dyDescent="0.25">
      <c r="A1137" s="23"/>
    </row>
    <row r="1138" spans="1:1" x14ac:dyDescent="0.25">
      <c r="A1138" s="23"/>
    </row>
    <row r="1139" spans="1:1" x14ac:dyDescent="0.25">
      <c r="A1139" s="23"/>
    </row>
    <row r="1140" spans="1:1" x14ac:dyDescent="0.25">
      <c r="A1140" s="23"/>
    </row>
    <row r="1141" spans="1:1" x14ac:dyDescent="0.25">
      <c r="A1141" s="23"/>
    </row>
    <row r="1142" spans="1:1" x14ac:dyDescent="0.25">
      <c r="A1142" s="23"/>
    </row>
    <row r="1143" spans="1:1" x14ac:dyDescent="0.25">
      <c r="A1143" s="23"/>
    </row>
    <row r="1144" spans="1:1" x14ac:dyDescent="0.25">
      <c r="A1144" s="23"/>
    </row>
    <row r="1145" spans="1:1" x14ac:dyDescent="0.25">
      <c r="A1145" s="23"/>
    </row>
    <row r="1146" spans="1:1" x14ac:dyDescent="0.25">
      <c r="A1146" s="23"/>
    </row>
    <row r="1147" spans="1:1" x14ac:dyDescent="0.25">
      <c r="A1147" s="23"/>
    </row>
    <row r="1148" spans="1:1" x14ac:dyDescent="0.25">
      <c r="A1148" s="23"/>
    </row>
    <row r="1149" spans="1:1" x14ac:dyDescent="0.25">
      <c r="A1149" s="23"/>
    </row>
    <row r="1150" spans="1:1" x14ac:dyDescent="0.25">
      <c r="A1150" s="23"/>
    </row>
    <row r="1151" spans="1:1" x14ac:dyDescent="0.25">
      <c r="A1151" s="23"/>
    </row>
    <row r="1152" spans="1:1" x14ac:dyDescent="0.25">
      <c r="A1152" s="23"/>
    </row>
    <row r="1153" spans="1:1" x14ac:dyDescent="0.25">
      <c r="A1153" s="23"/>
    </row>
    <row r="1154" spans="1:1" x14ac:dyDescent="0.25">
      <c r="A1154" s="23"/>
    </row>
    <row r="1155" spans="1:1" x14ac:dyDescent="0.25">
      <c r="A1155" s="23"/>
    </row>
    <row r="1156" spans="1:1" x14ac:dyDescent="0.25">
      <c r="A1156" s="23"/>
    </row>
    <row r="1157" spans="1:1" x14ac:dyDescent="0.25">
      <c r="A1157" s="23"/>
    </row>
    <row r="1158" spans="1:1" x14ac:dyDescent="0.25">
      <c r="A1158" s="23"/>
    </row>
    <row r="1159" spans="1:1" x14ac:dyDescent="0.25">
      <c r="A1159" s="23"/>
    </row>
    <row r="1160" spans="1:1" x14ac:dyDescent="0.25">
      <c r="A1160" s="23"/>
    </row>
    <row r="1161" spans="1:1" x14ac:dyDescent="0.25">
      <c r="A1161" s="23"/>
    </row>
    <row r="1162" spans="1:1" x14ac:dyDescent="0.25">
      <c r="A1162" s="23"/>
    </row>
    <row r="1163" spans="1:1" x14ac:dyDescent="0.25">
      <c r="A1163" s="23"/>
    </row>
    <row r="1164" spans="1:1" x14ac:dyDescent="0.25">
      <c r="A1164" s="23"/>
    </row>
    <row r="1165" spans="1:1" x14ac:dyDescent="0.25">
      <c r="A1165" s="23"/>
    </row>
    <row r="1166" spans="1:1" x14ac:dyDescent="0.25">
      <c r="A1166" s="23"/>
    </row>
    <row r="1167" spans="1:1" x14ac:dyDescent="0.25">
      <c r="A1167" s="23"/>
    </row>
    <row r="1168" spans="1:1" x14ac:dyDescent="0.25">
      <c r="A1168" s="23"/>
    </row>
    <row r="1169" spans="1:1" x14ac:dyDescent="0.25">
      <c r="A1169" s="23"/>
    </row>
    <row r="1170" spans="1:1" x14ac:dyDescent="0.25">
      <c r="A1170" s="23"/>
    </row>
    <row r="1171" spans="1:1" x14ac:dyDescent="0.25">
      <c r="A1171" s="23"/>
    </row>
    <row r="1172" spans="1:1" x14ac:dyDescent="0.25">
      <c r="A1172" s="23"/>
    </row>
    <row r="1173" spans="1:1" x14ac:dyDescent="0.25">
      <c r="A1173" s="23"/>
    </row>
    <row r="1174" spans="1:1" x14ac:dyDescent="0.25">
      <c r="A1174" s="23"/>
    </row>
    <row r="1175" spans="1:1" x14ac:dyDescent="0.25">
      <c r="A1175" s="23"/>
    </row>
    <row r="1176" spans="1:1" x14ac:dyDescent="0.25">
      <c r="A1176" s="23"/>
    </row>
    <row r="1177" spans="1:1" x14ac:dyDescent="0.25">
      <c r="A1177" s="23"/>
    </row>
    <row r="1178" spans="1:1" x14ac:dyDescent="0.25">
      <c r="A1178" s="23"/>
    </row>
    <row r="1179" spans="1:1" x14ac:dyDescent="0.25">
      <c r="A1179" s="23"/>
    </row>
    <row r="1180" spans="1:1" x14ac:dyDescent="0.25">
      <c r="A1180" s="23"/>
    </row>
    <row r="1181" spans="1:1" x14ac:dyDescent="0.25">
      <c r="A1181" s="23"/>
    </row>
    <row r="1182" spans="1:1" x14ac:dyDescent="0.25">
      <c r="A1182" s="23"/>
    </row>
    <row r="1183" spans="1:1" x14ac:dyDescent="0.25">
      <c r="A1183" s="23"/>
    </row>
    <row r="1184" spans="1:1" x14ac:dyDescent="0.25">
      <c r="A1184" s="23"/>
    </row>
    <row r="1185" spans="1:1" x14ac:dyDescent="0.25">
      <c r="A1185" s="23"/>
    </row>
    <row r="1186" spans="1:1" x14ac:dyDescent="0.25">
      <c r="A1186" s="23"/>
    </row>
    <row r="1187" spans="1:1" x14ac:dyDescent="0.25">
      <c r="A1187" s="23"/>
    </row>
    <row r="1188" spans="1:1" x14ac:dyDescent="0.25">
      <c r="A1188" s="23"/>
    </row>
    <row r="1189" spans="1:1" x14ac:dyDescent="0.25">
      <c r="A1189" s="23"/>
    </row>
    <row r="1190" spans="1:1" x14ac:dyDescent="0.25">
      <c r="A1190" s="23"/>
    </row>
    <row r="1191" spans="1:1" x14ac:dyDescent="0.25">
      <c r="A1191" s="23"/>
    </row>
    <row r="1192" spans="1:1" x14ac:dyDescent="0.25">
      <c r="A1192" s="23"/>
    </row>
    <row r="1193" spans="1:1" x14ac:dyDescent="0.25">
      <c r="A1193" s="23"/>
    </row>
    <row r="1194" spans="1:1" x14ac:dyDescent="0.25">
      <c r="A1194" s="23"/>
    </row>
    <row r="1195" spans="1:1" x14ac:dyDescent="0.25">
      <c r="A1195" s="23"/>
    </row>
    <row r="1196" spans="1:1" x14ac:dyDescent="0.25">
      <c r="A1196" s="23"/>
    </row>
    <row r="1197" spans="1:1" x14ac:dyDescent="0.25">
      <c r="A1197" s="23"/>
    </row>
    <row r="1198" spans="1:1" x14ac:dyDescent="0.25">
      <c r="A1198" s="23"/>
    </row>
    <row r="1199" spans="1:1" x14ac:dyDescent="0.25">
      <c r="A1199" s="23"/>
    </row>
    <row r="1200" spans="1:1" x14ac:dyDescent="0.25">
      <c r="A1200" s="23"/>
    </row>
    <row r="1201" spans="1:1" x14ac:dyDescent="0.25">
      <c r="A1201" s="23"/>
    </row>
    <row r="1202" spans="1:1" x14ac:dyDescent="0.25">
      <c r="A1202" s="23"/>
    </row>
    <row r="1203" spans="1:1" x14ac:dyDescent="0.25">
      <c r="A1203" s="23"/>
    </row>
    <row r="1204" spans="1:1" x14ac:dyDescent="0.25">
      <c r="A1204" s="23"/>
    </row>
    <row r="1205" spans="1:1" x14ac:dyDescent="0.25">
      <c r="A1205" s="23"/>
    </row>
    <row r="1206" spans="1:1" x14ac:dyDescent="0.25">
      <c r="A1206" s="23"/>
    </row>
    <row r="1207" spans="1:1" x14ac:dyDescent="0.25">
      <c r="A1207" s="23"/>
    </row>
    <row r="1208" spans="1:1" x14ac:dyDescent="0.25">
      <c r="A1208" s="23"/>
    </row>
    <row r="1209" spans="1:1" x14ac:dyDescent="0.25">
      <c r="A1209" s="23"/>
    </row>
    <row r="1210" spans="1:1" x14ac:dyDescent="0.25">
      <c r="A1210" s="23"/>
    </row>
    <row r="1211" spans="1:1" x14ac:dyDescent="0.25">
      <c r="A1211" s="23"/>
    </row>
    <row r="1212" spans="1:1" x14ac:dyDescent="0.25">
      <c r="A1212" s="23"/>
    </row>
    <row r="1213" spans="1:1" x14ac:dyDescent="0.25">
      <c r="A1213" s="23"/>
    </row>
    <row r="1214" spans="1:1" x14ac:dyDescent="0.25">
      <c r="A1214" s="23"/>
    </row>
    <row r="1215" spans="1:1" x14ac:dyDescent="0.25">
      <c r="A1215" s="23"/>
    </row>
    <row r="1216" spans="1:1" x14ac:dyDescent="0.25">
      <c r="A1216" s="23"/>
    </row>
    <row r="1217" spans="1:1" x14ac:dyDescent="0.25">
      <c r="A1217" s="23"/>
    </row>
    <row r="1218" spans="1:1" x14ac:dyDescent="0.25">
      <c r="A1218" s="23"/>
    </row>
    <row r="1219" spans="1:1" x14ac:dyDescent="0.25">
      <c r="A1219" s="23"/>
    </row>
    <row r="1220" spans="1:1" x14ac:dyDescent="0.25">
      <c r="A1220" s="23"/>
    </row>
    <row r="1221" spans="1:1" x14ac:dyDescent="0.25">
      <c r="A1221" s="23"/>
    </row>
    <row r="1222" spans="1:1" x14ac:dyDescent="0.25">
      <c r="A1222" s="23"/>
    </row>
    <row r="1223" spans="1:1" x14ac:dyDescent="0.25">
      <c r="A1223" s="23"/>
    </row>
    <row r="1224" spans="1:1" x14ac:dyDescent="0.25">
      <c r="A1224" s="23"/>
    </row>
    <row r="1225" spans="1:1" x14ac:dyDescent="0.25">
      <c r="A1225" s="23"/>
    </row>
    <row r="1226" spans="1:1" x14ac:dyDescent="0.25">
      <c r="A1226" s="23"/>
    </row>
    <row r="1227" spans="1:1" x14ac:dyDescent="0.25">
      <c r="A1227" s="23"/>
    </row>
    <row r="1228" spans="1:1" x14ac:dyDescent="0.25">
      <c r="A1228" s="23"/>
    </row>
    <row r="1229" spans="1:1" x14ac:dyDescent="0.25">
      <c r="A1229" s="23"/>
    </row>
    <row r="1230" spans="1:1" x14ac:dyDescent="0.25">
      <c r="A1230" s="23"/>
    </row>
    <row r="1231" spans="1:1" x14ac:dyDescent="0.25">
      <c r="A1231" s="23"/>
    </row>
    <row r="1232" spans="1:1" x14ac:dyDescent="0.25">
      <c r="A1232" s="23"/>
    </row>
    <row r="1233" spans="1:1" x14ac:dyDescent="0.25">
      <c r="A1233" s="23"/>
    </row>
    <row r="1234" spans="1:1" x14ac:dyDescent="0.25">
      <c r="A1234" s="23"/>
    </row>
    <row r="1235" spans="1:1" x14ac:dyDescent="0.25">
      <c r="A1235" s="23"/>
    </row>
    <row r="1236" spans="1:1" x14ac:dyDescent="0.25">
      <c r="A1236" s="23"/>
    </row>
    <row r="1237" spans="1:1" x14ac:dyDescent="0.25">
      <c r="A1237" s="23"/>
    </row>
    <row r="1238" spans="1:1" x14ac:dyDescent="0.25">
      <c r="A1238" s="23"/>
    </row>
    <row r="1239" spans="1:1" x14ac:dyDescent="0.25">
      <c r="A1239" s="23"/>
    </row>
    <row r="1240" spans="1:1" x14ac:dyDescent="0.25">
      <c r="A1240" s="23"/>
    </row>
    <row r="1241" spans="1:1" x14ac:dyDescent="0.25">
      <c r="A1241" s="23"/>
    </row>
    <row r="1242" spans="1:1" x14ac:dyDescent="0.25">
      <c r="A1242" s="23"/>
    </row>
    <row r="1243" spans="1:1" x14ac:dyDescent="0.25">
      <c r="A1243" s="23"/>
    </row>
    <row r="1244" spans="1:1" x14ac:dyDescent="0.25">
      <c r="A1244" s="23"/>
    </row>
    <row r="1245" spans="1:1" x14ac:dyDescent="0.25">
      <c r="A1245" s="23"/>
    </row>
    <row r="1246" spans="1:1" x14ac:dyDescent="0.25">
      <c r="A1246" s="23"/>
    </row>
    <row r="1247" spans="1:1" x14ac:dyDescent="0.25">
      <c r="A1247" s="23"/>
    </row>
    <row r="1248" spans="1:1" x14ac:dyDescent="0.25">
      <c r="A1248" s="23"/>
    </row>
    <row r="1249" spans="1:1" x14ac:dyDescent="0.25">
      <c r="A1249" s="23"/>
    </row>
    <row r="1250" spans="1:1" x14ac:dyDescent="0.25">
      <c r="A1250" s="23"/>
    </row>
    <row r="1251" spans="1:1" x14ac:dyDescent="0.25">
      <c r="A1251" s="23"/>
    </row>
    <row r="1252" spans="1:1" x14ac:dyDescent="0.25">
      <c r="A1252" s="23"/>
    </row>
    <row r="1253" spans="1:1" x14ac:dyDescent="0.25">
      <c r="A1253" s="23"/>
    </row>
    <row r="1254" spans="1:1" x14ac:dyDescent="0.25">
      <c r="A1254" s="23"/>
    </row>
    <row r="1255" spans="1:1" x14ac:dyDescent="0.25">
      <c r="A1255" s="23"/>
    </row>
    <row r="1256" spans="1:1" x14ac:dyDescent="0.25">
      <c r="A1256" s="23"/>
    </row>
    <row r="1257" spans="1:1" x14ac:dyDescent="0.25">
      <c r="A1257" s="23"/>
    </row>
    <row r="1258" spans="1:1" x14ac:dyDescent="0.25">
      <c r="A1258" s="23"/>
    </row>
    <row r="1259" spans="1:1" x14ac:dyDescent="0.25">
      <c r="A1259" s="23"/>
    </row>
    <row r="1260" spans="1:1" x14ac:dyDescent="0.25">
      <c r="A1260" s="23"/>
    </row>
    <row r="1261" spans="1:1" x14ac:dyDescent="0.25">
      <c r="A1261" s="23"/>
    </row>
    <row r="1262" spans="1:1" x14ac:dyDescent="0.25">
      <c r="A1262" s="23"/>
    </row>
    <row r="1263" spans="1:1" x14ac:dyDescent="0.25">
      <c r="A1263" s="23"/>
    </row>
    <row r="1264" spans="1:1" x14ac:dyDescent="0.25">
      <c r="A1264" s="23"/>
    </row>
    <row r="1265" spans="1:1" x14ac:dyDescent="0.25">
      <c r="A1265" s="23"/>
    </row>
    <row r="1266" spans="1:1" x14ac:dyDescent="0.25">
      <c r="A1266" s="23"/>
    </row>
    <row r="1267" spans="1:1" x14ac:dyDescent="0.25">
      <c r="A1267" s="23"/>
    </row>
    <row r="1268" spans="1:1" x14ac:dyDescent="0.25">
      <c r="A1268" s="23"/>
    </row>
    <row r="1269" spans="1:1" x14ac:dyDescent="0.25">
      <c r="A1269" s="23"/>
    </row>
    <row r="1270" spans="1:1" x14ac:dyDescent="0.25">
      <c r="A1270" s="23"/>
    </row>
    <row r="1271" spans="1:1" x14ac:dyDescent="0.25">
      <c r="A1271" s="23"/>
    </row>
    <row r="1272" spans="1:1" x14ac:dyDescent="0.25">
      <c r="A1272" s="23"/>
    </row>
    <row r="1273" spans="1:1" x14ac:dyDescent="0.25">
      <c r="A1273" s="23"/>
    </row>
    <row r="1274" spans="1:1" x14ac:dyDescent="0.25">
      <c r="A1274" s="23"/>
    </row>
    <row r="1275" spans="1:1" x14ac:dyDescent="0.25">
      <c r="A1275" s="23"/>
    </row>
    <row r="1276" spans="1:1" x14ac:dyDescent="0.25">
      <c r="A1276" s="23"/>
    </row>
    <row r="1277" spans="1:1" x14ac:dyDescent="0.25">
      <c r="A1277" s="23"/>
    </row>
    <row r="1278" spans="1:1" x14ac:dyDescent="0.25">
      <c r="A1278" s="23"/>
    </row>
    <row r="1279" spans="1:1" x14ac:dyDescent="0.25">
      <c r="A1279" s="23"/>
    </row>
    <row r="1280" spans="1:1" x14ac:dyDescent="0.25">
      <c r="A1280" s="23"/>
    </row>
    <row r="1281" spans="1:1" x14ac:dyDescent="0.25">
      <c r="A1281" s="23"/>
    </row>
    <row r="1282" spans="1:1" x14ac:dyDescent="0.25">
      <c r="A1282" s="23"/>
    </row>
    <row r="1283" spans="1:1" x14ac:dyDescent="0.25">
      <c r="A1283" s="23"/>
    </row>
    <row r="1284" spans="1:1" x14ac:dyDescent="0.25">
      <c r="A1284" s="23"/>
    </row>
    <row r="1285" spans="1:1" x14ac:dyDescent="0.25">
      <c r="A1285" s="23"/>
    </row>
    <row r="1286" spans="1:1" x14ac:dyDescent="0.25">
      <c r="A1286" s="23"/>
    </row>
    <row r="1287" spans="1:1" x14ac:dyDescent="0.25">
      <c r="A1287" s="23"/>
    </row>
    <row r="1288" spans="1:1" x14ac:dyDescent="0.25">
      <c r="A1288" s="23"/>
    </row>
    <row r="1289" spans="1:1" x14ac:dyDescent="0.25">
      <c r="A1289" s="23"/>
    </row>
    <row r="1290" spans="1:1" x14ac:dyDescent="0.25">
      <c r="A1290" s="23"/>
    </row>
    <row r="1291" spans="1:1" x14ac:dyDescent="0.25">
      <c r="A1291" s="23"/>
    </row>
    <row r="1292" spans="1:1" x14ac:dyDescent="0.25">
      <c r="A1292" s="23"/>
    </row>
    <row r="1293" spans="1:1" x14ac:dyDescent="0.25">
      <c r="A1293" s="23"/>
    </row>
    <row r="1294" spans="1:1" x14ac:dyDescent="0.25">
      <c r="A1294" s="23"/>
    </row>
    <row r="1295" spans="1:1" x14ac:dyDescent="0.25">
      <c r="A1295" s="23"/>
    </row>
    <row r="1296" spans="1:1" x14ac:dyDescent="0.25">
      <c r="A1296" s="23"/>
    </row>
    <row r="1297" spans="1:1" x14ac:dyDescent="0.25">
      <c r="A1297" s="23"/>
    </row>
    <row r="1298" spans="1:1" x14ac:dyDescent="0.25">
      <c r="A1298" s="23"/>
    </row>
    <row r="1299" spans="1:1" x14ac:dyDescent="0.25">
      <c r="A1299" s="23"/>
    </row>
    <row r="1300" spans="1:1" x14ac:dyDescent="0.25">
      <c r="A1300" s="23"/>
    </row>
    <row r="1301" spans="1:1" x14ac:dyDescent="0.25">
      <c r="A1301" s="23"/>
    </row>
    <row r="1302" spans="1:1" x14ac:dyDescent="0.25">
      <c r="A1302" s="23"/>
    </row>
    <row r="1303" spans="1:1" x14ac:dyDescent="0.25">
      <c r="A1303" s="23"/>
    </row>
    <row r="1304" spans="1:1" x14ac:dyDescent="0.25">
      <c r="A1304" s="23"/>
    </row>
    <row r="1305" spans="1:1" x14ac:dyDescent="0.25">
      <c r="A1305" s="23"/>
    </row>
    <row r="1306" spans="1:1" x14ac:dyDescent="0.25">
      <c r="A1306" s="23"/>
    </row>
    <row r="1307" spans="1:1" x14ac:dyDescent="0.25">
      <c r="A1307" s="23"/>
    </row>
    <row r="1308" spans="1:1" x14ac:dyDescent="0.25">
      <c r="A1308" s="23"/>
    </row>
    <row r="1309" spans="1:1" x14ac:dyDescent="0.25">
      <c r="A1309" s="23"/>
    </row>
    <row r="1310" spans="1:1" x14ac:dyDescent="0.25">
      <c r="A1310" s="23"/>
    </row>
    <row r="1311" spans="1:1" x14ac:dyDescent="0.25">
      <c r="A1311" s="23"/>
    </row>
    <row r="1312" spans="1:1" x14ac:dyDescent="0.25">
      <c r="A1312" s="23"/>
    </row>
    <row r="1313" spans="1:1" x14ac:dyDescent="0.25">
      <c r="A1313" s="23"/>
    </row>
    <row r="1314" spans="1:1" x14ac:dyDescent="0.25">
      <c r="A1314" s="23"/>
    </row>
    <row r="1315" spans="1:1" x14ac:dyDescent="0.25">
      <c r="A1315" s="23"/>
    </row>
    <row r="1316" spans="1:1" x14ac:dyDescent="0.25">
      <c r="A1316" s="23"/>
    </row>
    <row r="1317" spans="1:1" x14ac:dyDescent="0.25">
      <c r="A1317" s="23"/>
    </row>
    <row r="1318" spans="1:1" x14ac:dyDescent="0.25">
      <c r="A1318" s="23"/>
    </row>
    <row r="1319" spans="1:1" x14ac:dyDescent="0.25">
      <c r="A1319" s="23"/>
    </row>
    <row r="1320" spans="1:1" x14ac:dyDescent="0.25">
      <c r="A1320" s="23"/>
    </row>
    <row r="1321" spans="1:1" x14ac:dyDescent="0.25">
      <c r="A1321" s="23"/>
    </row>
    <row r="1322" spans="1:1" x14ac:dyDescent="0.25">
      <c r="A1322" s="23"/>
    </row>
    <row r="1323" spans="1:1" x14ac:dyDescent="0.25">
      <c r="A1323" s="23"/>
    </row>
    <row r="1324" spans="1:1" x14ac:dyDescent="0.25">
      <c r="A1324" s="23"/>
    </row>
    <row r="1325" spans="1:1" x14ac:dyDescent="0.25">
      <c r="A1325" s="23"/>
    </row>
    <row r="1326" spans="1:1" x14ac:dyDescent="0.25">
      <c r="A1326" s="23"/>
    </row>
    <row r="1327" spans="1:1" x14ac:dyDescent="0.25">
      <c r="A1327" s="23"/>
    </row>
    <row r="1328" spans="1:1" x14ac:dyDescent="0.25">
      <c r="A1328" s="23"/>
    </row>
    <row r="1329" spans="1:1" x14ac:dyDescent="0.25">
      <c r="A1329" s="23"/>
    </row>
    <row r="1330" spans="1:1" x14ac:dyDescent="0.25">
      <c r="A1330" s="23"/>
    </row>
    <row r="1331" spans="1:1" x14ac:dyDescent="0.25">
      <c r="A1331" s="23"/>
    </row>
    <row r="1332" spans="1:1" x14ac:dyDescent="0.25">
      <c r="A1332" s="23"/>
    </row>
    <row r="1333" spans="1:1" x14ac:dyDescent="0.25">
      <c r="A1333" s="23"/>
    </row>
    <row r="1334" spans="1:1" x14ac:dyDescent="0.25">
      <c r="A1334" s="23"/>
    </row>
    <row r="1335" spans="1:1" x14ac:dyDescent="0.25">
      <c r="A1335" s="23"/>
    </row>
    <row r="1336" spans="1:1" x14ac:dyDescent="0.25">
      <c r="A1336" s="23"/>
    </row>
    <row r="1337" spans="1:1" x14ac:dyDescent="0.25">
      <c r="A1337" s="23"/>
    </row>
    <row r="1338" spans="1:1" x14ac:dyDescent="0.25">
      <c r="A1338" s="23"/>
    </row>
    <row r="1339" spans="1:1" x14ac:dyDescent="0.25">
      <c r="A1339" s="23"/>
    </row>
    <row r="1340" spans="1:1" x14ac:dyDescent="0.25">
      <c r="A1340" s="23"/>
    </row>
    <row r="1341" spans="1:1" x14ac:dyDescent="0.25">
      <c r="A1341" s="23"/>
    </row>
    <row r="1342" spans="1:1" x14ac:dyDescent="0.25">
      <c r="A1342" s="23"/>
    </row>
    <row r="1343" spans="1:1" x14ac:dyDescent="0.25">
      <c r="A1343" s="23"/>
    </row>
    <row r="1344" spans="1:1" x14ac:dyDescent="0.25">
      <c r="A1344" s="23"/>
    </row>
    <row r="1345" spans="1:1" x14ac:dyDescent="0.25">
      <c r="A1345" s="23"/>
    </row>
    <row r="1346" spans="1:1" x14ac:dyDescent="0.25">
      <c r="A1346" s="23"/>
    </row>
    <row r="1347" spans="1:1" x14ac:dyDescent="0.25">
      <c r="A1347" s="23"/>
    </row>
    <row r="1348" spans="1:1" x14ac:dyDescent="0.25">
      <c r="A1348" s="23"/>
    </row>
    <row r="1349" spans="1:1" x14ac:dyDescent="0.25">
      <c r="A1349" s="23"/>
    </row>
    <row r="1350" spans="1:1" x14ac:dyDescent="0.25">
      <c r="A1350" s="23"/>
    </row>
    <row r="1351" spans="1:1" x14ac:dyDescent="0.25">
      <c r="A1351" s="23"/>
    </row>
    <row r="1352" spans="1:1" x14ac:dyDescent="0.25">
      <c r="A1352" s="23"/>
    </row>
    <row r="1353" spans="1:1" x14ac:dyDescent="0.25">
      <c r="A1353" s="23"/>
    </row>
    <row r="1354" spans="1:1" x14ac:dyDescent="0.25">
      <c r="A1354" s="23"/>
    </row>
    <row r="1355" spans="1:1" x14ac:dyDescent="0.25">
      <c r="A1355" s="23"/>
    </row>
    <row r="1356" spans="1:1" x14ac:dyDescent="0.25">
      <c r="A1356" s="23"/>
    </row>
    <row r="1357" spans="1:1" x14ac:dyDescent="0.25">
      <c r="A1357" s="23"/>
    </row>
    <row r="1358" spans="1:1" x14ac:dyDescent="0.25">
      <c r="A1358" s="23"/>
    </row>
    <row r="1359" spans="1:1" x14ac:dyDescent="0.25">
      <c r="A1359" s="23"/>
    </row>
    <row r="1360" spans="1:1" x14ac:dyDescent="0.25">
      <c r="A1360" s="23"/>
    </row>
    <row r="1361" spans="1:1" x14ac:dyDescent="0.25">
      <c r="A1361" s="23"/>
    </row>
    <row r="1362" spans="1:1" x14ac:dyDescent="0.25">
      <c r="A1362" s="23"/>
    </row>
    <row r="1363" spans="1:1" x14ac:dyDescent="0.25">
      <c r="A1363" s="23"/>
    </row>
    <row r="1364" spans="1:1" x14ac:dyDescent="0.25">
      <c r="A1364" s="23"/>
    </row>
    <row r="1365" spans="1:1" x14ac:dyDescent="0.25">
      <c r="A1365" s="23"/>
    </row>
    <row r="1366" spans="1:1" x14ac:dyDescent="0.25">
      <c r="A1366" s="23"/>
    </row>
    <row r="1367" spans="1:1" x14ac:dyDescent="0.25">
      <c r="A1367" s="23"/>
    </row>
    <row r="1368" spans="1:1" x14ac:dyDescent="0.25">
      <c r="A1368" s="23"/>
    </row>
    <row r="1369" spans="1:1" x14ac:dyDescent="0.25">
      <c r="A1369" s="23"/>
    </row>
    <row r="1370" spans="1:1" x14ac:dyDescent="0.25">
      <c r="A1370" s="23"/>
    </row>
    <row r="1371" spans="1:1" x14ac:dyDescent="0.25">
      <c r="A1371" s="23"/>
    </row>
    <row r="1372" spans="1:1" x14ac:dyDescent="0.25">
      <c r="A1372" s="23"/>
    </row>
    <row r="1373" spans="1:1" x14ac:dyDescent="0.25">
      <c r="A1373" s="23"/>
    </row>
    <row r="1374" spans="1:1" x14ac:dyDescent="0.25">
      <c r="A1374" s="23"/>
    </row>
    <row r="1375" spans="1:1" x14ac:dyDescent="0.25">
      <c r="A1375" s="23"/>
    </row>
    <row r="1376" spans="1:1" x14ac:dyDescent="0.25">
      <c r="A1376" s="23"/>
    </row>
    <row r="1377" spans="1:1" x14ac:dyDescent="0.25">
      <c r="A1377" s="23"/>
    </row>
    <row r="1378" spans="1:1" x14ac:dyDescent="0.25">
      <c r="A1378" s="23"/>
    </row>
    <row r="1379" spans="1:1" x14ac:dyDescent="0.25">
      <c r="A1379" s="23"/>
    </row>
    <row r="1380" spans="1:1" x14ac:dyDescent="0.25">
      <c r="A1380" s="23"/>
    </row>
    <row r="1381" spans="1:1" x14ac:dyDescent="0.25">
      <c r="A1381" s="23"/>
    </row>
    <row r="1382" spans="1:1" x14ac:dyDescent="0.25">
      <c r="A1382" s="23"/>
    </row>
    <row r="1383" spans="1:1" x14ac:dyDescent="0.25">
      <c r="A1383" s="23"/>
    </row>
    <row r="1384" spans="1:1" x14ac:dyDescent="0.25">
      <c r="A1384" s="23"/>
    </row>
    <row r="1385" spans="1:1" x14ac:dyDescent="0.25">
      <c r="A1385" s="23"/>
    </row>
    <row r="1386" spans="1:1" x14ac:dyDescent="0.25">
      <c r="A1386" s="23"/>
    </row>
    <row r="1387" spans="1:1" x14ac:dyDescent="0.25">
      <c r="A1387" s="23"/>
    </row>
    <row r="1388" spans="1:1" x14ac:dyDescent="0.25">
      <c r="A1388" s="23"/>
    </row>
    <row r="1389" spans="1:1" x14ac:dyDescent="0.25">
      <c r="A1389" s="23"/>
    </row>
    <row r="1390" spans="1:1" x14ac:dyDescent="0.25">
      <c r="A1390" s="23"/>
    </row>
    <row r="1391" spans="1:1" x14ac:dyDescent="0.25">
      <c r="A1391" s="23"/>
    </row>
    <row r="1392" spans="1:1" x14ac:dyDescent="0.25">
      <c r="A1392" s="23"/>
    </row>
    <row r="1393" spans="1:1" x14ac:dyDescent="0.25">
      <c r="A1393" s="23"/>
    </row>
    <row r="1394" spans="1:1" x14ac:dyDescent="0.25">
      <c r="A1394" s="23"/>
    </row>
    <row r="1395" spans="1:1" x14ac:dyDescent="0.25">
      <c r="A1395" s="23"/>
    </row>
    <row r="1396" spans="1:1" x14ac:dyDescent="0.25">
      <c r="A1396" s="23"/>
    </row>
    <row r="1397" spans="1:1" x14ac:dyDescent="0.25">
      <c r="A1397" s="23"/>
    </row>
    <row r="1398" spans="1:1" x14ac:dyDescent="0.25">
      <c r="A1398" s="23"/>
    </row>
    <row r="1399" spans="1:1" x14ac:dyDescent="0.25">
      <c r="A1399" s="23"/>
    </row>
    <row r="1400" spans="1:1" x14ac:dyDescent="0.25">
      <c r="A1400" s="23"/>
    </row>
    <row r="1401" spans="1:1" x14ac:dyDescent="0.25">
      <c r="A1401" s="23"/>
    </row>
    <row r="1402" spans="1:1" x14ac:dyDescent="0.25">
      <c r="A1402" s="23"/>
    </row>
    <row r="1403" spans="1:1" x14ac:dyDescent="0.25">
      <c r="A1403" s="23"/>
    </row>
    <row r="1404" spans="1:1" x14ac:dyDescent="0.25">
      <c r="A1404" s="23"/>
    </row>
    <row r="1405" spans="1:1" x14ac:dyDescent="0.25">
      <c r="A1405" s="23"/>
    </row>
    <row r="1406" spans="1:1" x14ac:dyDescent="0.25">
      <c r="A1406" s="23"/>
    </row>
    <row r="1407" spans="1:1" x14ac:dyDescent="0.25">
      <c r="A1407" s="23"/>
    </row>
    <row r="1408" spans="1:1" x14ac:dyDescent="0.25">
      <c r="A1408" s="23"/>
    </row>
    <row r="1409" spans="1:1" x14ac:dyDescent="0.25">
      <c r="A1409" s="23"/>
    </row>
    <row r="1410" spans="1:1" x14ac:dyDescent="0.25">
      <c r="A1410" s="23"/>
    </row>
    <row r="1411" spans="1:1" x14ac:dyDescent="0.25">
      <c r="A1411" s="23"/>
    </row>
    <row r="1412" spans="1:1" x14ac:dyDescent="0.25">
      <c r="A1412" s="23"/>
    </row>
    <row r="1413" spans="1:1" x14ac:dyDescent="0.25">
      <c r="A1413" s="23"/>
    </row>
    <row r="1414" spans="1:1" x14ac:dyDescent="0.25">
      <c r="A1414" s="23"/>
    </row>
    <row r="1415" spans="1:1" x14ac:dyDescent="0.25">
      <c r="A1415" s="23"/>
    </row>
    <row r="1416" spans="1:1" x14ac:dyDescent="0.25">
      <c r="A1416" s="23"/>
    </row>
    <row r="1417" spans="1:1" x14ac:dyDescent="0.25">
      <c r="A1417" s="23"/>
    </row>
    <row r="1418" spans="1:1" x14ac:dyDescent="0.25">
      <c r="A1418" s="23"/>
    </row>
    <row r="1419" spans="1:1" x14ac:dyDescent="0.25">
      <c r="A1419" s="23"/>
    </row>
    <row r="1420" spans="1:1" x14ac:dyDescent="0.25">
      <c r="A1420" s="23"/>
    </row>
    <row r="1421" spans="1:1" x14ac:dyDescent="0.25">
      <c r="A1421" s="23"/>
    </row>
    <row r="1422" spans="1:1" x14ac:dyDescent="0.25">
      <c r="A1422" s="23"/>
    </row>
    <row r="1423" spans="1:1" x14ac:dyDescent="0.25">
      <c r="A1423" s="23"/>
    </row>
    <row r="1424" spans="1:1" x14ac:dyDescent="0.25">
      <c r="A1424" s="23"/>
    </row>
    <row r="1425" spans="1:1" x14ac:dyDescent="0.25">
      <c r="A1425" s="23"/>
    </row>
    <row r="1426" spans="1:1" x14ac:dyDescent="0.25">
      <c r="A1426" s="23"/>
    </row>
    <row r="1427" spans="1:1" x14ac:dyDescent="0.25">
      <c r="A1427" s="23"/>
    </row>
    <row r="1428" spans="1:1" x14ac:dyDescent="0.25">
      <c r="A1428" s="23"/>
    </row>
    <row r="1429" spans="1:1" x14ac:dyDescent="0.25">
      <c r="A1429" s="23"/>
    </row>
    <row r="1430" spans="1:1" x14ac:dyDescent="0.25">
      <c r="A1430" s="23"/>
    </row>
    <row r="1431" spans="1:1" x14ac:dyDescent="0.25">
      <c r="A1431" s="23"/>
    </row>
    <row r="1432" spans="1:1" x14ac:dyDescent="0.25">
      <c r="A1432" s="23"/>
    </row>
    <row r="1433" spans="1:1" x14ac:dyDescent="0.25">
      <c r="A1433" s="23"/>
    </row>
    <row r="1434" spans="1:1" x14ac:dyDescent="0.25">
      <c r="A1434" s="23"/>
    </row>
    <row r="1435" spans="1:1" x14ac:dyDescent="0.25">
      <c r="A1435" s="23"/>
    </row>
    <row r="1436" spans="1:1" x14ac:dyDescent="0.25">
      <c r="A1436" s="23"/>
    </row>
    <row r="1437" spans="1:1" x14ac:dyDescent="0.25">
      <c r="A1437" s="23"/>
    </row>
    <row r="1438" spans="1:1" x14ac:dyDescent="0.25">
      <c r="A1438" s="23"/>
    </row>
    <row r="1439" spans="1:1" x14ac:dyDescent="0.25">
      <c r="A1439" s="23"/>
    </row>
    <row r="1440" spans="1:1" x14ac:dyDescent="0.25">
      <c r="A1440" s="23"/>
    </row>
    <row r="1441" spans="1:1" x14ac:dyDescent="0.25">
      <c r="A1441" s="23"/>
    </row>
    <row r="1442" spans="1:1" x14ac:dyDescent="0.25">
      <c r="A1442" s="23"/>
    </row>
    <row r="1443" spans="1:1" x14ac:dyDescent="0.25">
      <c r="A1443" s="23"/>
    </row>
    <row r="1444" spans="1:1" x14ac:dyDescent="0.25">
      <c r="A1444" s="23"/>
    </row>
    <row r="1445" spans="1:1" x14ac:dyDescent="0.25">
      <c r="A1445" s="23"/>
    </row>
    <row r="1446" spans="1:1" x14ac:dyDescent="0.25">
      <c r="A1446" s="23"/>
    </row>
    <row r="1447" spans="1:1" x14ac:dyDescent="0.25">
      <c r="A1447" s="23"/>
    </row>
    <row r="1448" spans="1:1" x14ac:dyDescent="0.25">
      <c r="A1448" s="23"/>
    </row>
    <row r="1449" spans="1:1" x14ac:dyDescent="0.25">
      <c r="A1449" s="23"/>
    </row>
    <row r="1450" spans="1:1" x14ac:dyDescent="0.25">
      <c r="A1450" s="23"/>
    </row>
    <row r="1451" spans="1:1" x14ac:dyDescent="0.25">
      <c r="A1451" s="23"/>
    </row>
    <row r="1452" spans="1:1" x14ac:dyDescent="0.25">
      <c r="A1452" s="23"/>
    </row>
    <row r="1453" spans="1:1" x14ac:dyDescent="0.25">
      <c r="A1453" s="23"/>
    </row>
    <row r="1454" spans="1:1" x14ac:dyDescent="0.25">
      <c r="A1454" s="23"/>
    </row>
    <row r="1455" spans="1:1" x14ac:dyDescent="0.25">
      <c r="A1455" s="23"/>
    </row>
    <row r="1456" spans="1:1" x14ac:dyDescent="0.25">
      <c r="A1456" s="23"/>
    </row>
    <row r="1457" spans="1:1" x14ac:dyDescent="0.25">
      <c r="A1457" s="23"/>
    </row>
    <row r="1458" spans="1:1" x14ac:dyDescent="0.25">
      <c r="A1458" s="23"/>
    </row>
    <row r="1459" spans="1:1" x14ac:dyDescent="0.25">
      <c r="A1459" s="23"/>
    </row>
    <row r="1460" spans="1:1" x14ac:dyDescent="0.25">
      <c r="A1460" s="23"/>
    </row>
    <row r="1461" spans="1:1" x14ac:dyDescent="0.25">
      <c r="A1461" s="23"/>
    </row>
    <row r="1462" spans="1:1" x14ac:dyDescent="0.25">
      <c r="A1462" s="23"/>
    </row>
    <row r="1463" spans="1:1" x14ac:dyDescent="0.25">
      <c r="A1463" s="23"/>
    </row>
    <row r="1464" spans="1:1" x14ac:dyDescent="0.25">
      <c r="A1464" s="23"/>
    </row>
    <row r="1465" spans="1:1" x14ac:dyDescent="0.25">
      <c r="A1465" s="23"/>
    </row>
    <row r="1466" spans="1:1" x14ac:dyDescent="0.25">
      <c r="A1466" s="23"/>
    </row>
    <row r="1467" spans="1:1" x14ac:dyDescent="0.25">
      <c r="A1467" s="23"/>
    </row>
    <row r="1468" spans="1:1" x14ac:dyDescent="0.25">
      <c r="A1468" s="23"/>
    </row>
    <row r="1469" spans="1:1" x14ac:dyDescent="0.25">
      <c r="A1469" s="23"/>
    </row>
    <row r="1470" spans="1:1" x14ac:dyDescent="0.25">
      <c r="A1470" s="23"/>
    </row>
    <row r="1471" spans="1:1" x14ac:dyDescent="0.25">
      <c r="A1471" s="23"/>
    </row>
    <row r="1472" spans="1:1" x14ac:dyDescent="0.25">
      <c r="A1472" s="23"/>
    </row>
    <row r="1473" spans="1:1" x14ac:dyDescent="0.25">
      <c r="A1473" s="23"/>
    </row>
    <row r="1474" spans="1:1" x14ac:dyDescent="0.25">
      <c r="A1474" s="23"/>
    </row>
    <row r="1475" spans="1:1" x14ac:dyDescent="0.25">
      <c r="A1475" s="23"/>
    </row>
    <row r="1476" spans="1:1" x14ac:dyDescent="0.25">
      <c r="A1476" s="23"/>
    </row>
    <row r="1477" spans="1:1" x14ac:dyDescent="0.25">
      <c r="A1477" s="23"/>
    </row>
    <row r="1478" spans="1:1" x14ac:dyDescent="0.25">
      <c r="A1478" s="23"/>
    </row>
    <row r="1479" spans="1:1" x14ac:dyDescent="0.25">
      <c r="A1479" s="23"/>
    </row>
    <row r="1480" spans="1:1" x14ac:dyDescent="0.25">
      <c r="A1480" s="23"/>
    </row>
    <row r="1481" spans="1:1" x14ac:dyDescent="0.25">
      <c r="A1481" s="23"/>
    </row>
    <row r="1482" spans="1:1" x14ac:dyDescent="0.25">
      <c r="A1482" s="23"/>
    </row>
    <row r="1483" spans="1:1" x14ac:dyDescent="0.25">
      <c r="A1483" s="23"/>
    </row>
    <row r="1484" spans="1:1" x14ac:dyDescent="0.25">
      <c r="A1484" s="23"/>
    </row>
    <row r="1485" spans="1:1" x14ac:dyDescent="0.25">
      <c r="A1485" s="23"/>
    </row>
    <row r="1486" spans="1:1" x14ac:dyDescent="0.25">
      <c r="A1486" s="23"/>
    </row>
    <row r="1487" spans="1:1" x14ac:dyDescent="0.25">
      <c r="A1487" s="23"/>
    </row>
    <row r="1488" spans="1:1" x14ac:dyDescent="0.25">
      <c r="A1488" s="23"/>
    </row>
    <row r="1489" spans="1:1" x14ac:dyDescent="0.25">
      <c r="A1489" s="23"/>
    </row>
    <row r="1490" spans="1:1" x14ac:dyDescent="0.25">
      <c r="A1490" s="23"/>
    </row>
    <row r="1491" spans="1:1" x14ac:dyDescent="0.25">
      <c r="A1491" s="23"/>
    </row>
    <row r="1492" spans="1:1" x14ac:dyDescent="0.25">
      <c r="A1492" s="23"/>
    </row>
    <row r="1493" spans="1:1" x14ac:dyDescent="0.25">
      <c r="A1493" s="23"/>
    </row>
    <row r="1494" spans="1:1" x14ac:dyDescent="0.25">
      <c r="A1494" s="23"/>
    </row>
    <row r="1495" spans="1:1" x14ac:dyDescent="0.25">
      <c r="A1495" s="23"/>
    </row>
    <row r="1496" spans="1:1" x14ac:dyDescent="0.25">
      <c r="A1496" s="23"/>
    </row>
    <row r="1497" spans="1:1" x14ac:dyDescent="0.25">
      <c r="A1497" s="23"/>
    </row>
    <row r="1498" spans="1:1" x14ac:dyDescent="0.25">
      <c r="A1498" s="23"/>
    </row>
    <row r="1499" spans="1:1" x14ac:dyDescent="0.25">
      <c r="A1499" s="23"/>
    </row>
    <row r="1500" spans="1:1" x14ac:dyDescent="0.25">
      <c r="A1500" s="23"/>
    </row>
    <row r="1501" spans="1:1" x14ac:dyDescent="0.25">
      <c r="A1501" s="23"/>
    </row>
    <row r="1502" spans="1:1" x14ac:dyDescent="0.25">
      <c r="A1502" s="23"/>
    </row>
    <row r="1503" spans="1:1" x14ac:dyDescent="0.25">
      <c r="A1503" s="23"/>
    </row>
    <row r="1504" spans="1:1" x14ac:dyDescent="0.25">
      <c r="A1504" s="23"/>
    </row>
    <row r="1505" spans="1:1" x14ac:dyDescent="0.25">
      <c r="A1505" s="23"/>
    </row>
    <row r="1506" spans="1:1" x14ac:dyDescent="0.25">
      <c r="A1506" s="23"/>
    </row>
    <row r="1507" spans="1:1" x14ac:dyDescent="0.25">
      <c r="A1507" s="23"/>
    </row>
    <row r="1508" spans="1:1" x14ac:dyDescent="0.25">
      <c r="A1508" s="23"/>
    </row>
    <row r="1509" spans="1:1" x14ac:dyDescent="0.25">
      <c r="A1509" s="23"/>
    </row>
    <row r="1510" spans="1:1" x14ac:dyDescent="0.25">
      <c r="A1510" s="23"/>
    </row>
    <row r="1511" spans="1:1" x14ac:dyDescent="0.25">
      <c r="A1511" s="23"/>
    </row>
    <row r="1512" spans="1:1" x14ac:dyDescent="0.25">
      <c r="A1512" s="23"/>
    </row>
    <row r="1513" spans="1:1" x14ac:dyDescent="0.25">
      <c r="A1513" s="23"/>
    </row>
    <row r="1514" spans="1:1" x14ac:dyDescent="0.25">
      <c r="A1514" s="23"/>
    </row>
    <row r="1515" spans="1:1" x14ac:dyDescent="0.25">
      <c r="A1515" s="23"/>
    </row>
    <row r="1516" spans="1:1" x14ac:dyDescent="0.25">
      <c r="A1516" s="23"/>
    </row>
    <row r="1517" spans="1:1" x14ac:dyDescent="0.25">
      <c r="A1517" s="23"/>
    </row>
    <row r="1518" spans="1:1" x14ac:dyDescent="0.25">
      <c r="A1518" s="23"/>
    </row>
    <row r="1519" spans="1:1" x14ac:dyDescent="0.25">
      <c r="A1519" s="23"/>
    </row>
    <row r="1520" spans="1:1" x14ac:dyDescent="0.25">
      <c r="A1520" s="23"/>
    </row>
    <row r="1521" spans="1:1" x14ac:dyDescent="0.25">
      <c r="A1521" s="23"/>
    </row>
    <row r="1522" spans="1:1" x14ac:dyDescent="0.25">
      <c r="A1522" s="23"/>
    </row>
    <row r="1523" spans="1:1" x14ac:dyDescent="0.25">
      <c r="A1523" s="23"/>
    </row>
    <row r="1524" spans="1:1" x14ac:dyDescent="0.25">
      <c r="A1524" s="23"/>
    </row>
    <row r="1525" spans="1:1" x14ac:dyDescent="0.25">
      <c r="A1525" s="23"/>
    </row>
    <row r="1526" spans="1:1" x14ac:dyDescent="0.25">
      <c r="A1526" s="23"/>
    </row>
    <row r="1527" spans="1:1" x14ac:dyDescent="0.25">
      <c r="A1527" s="23"/>
    </row>
    <row r="1528" spans="1:1" x14ac:dyDescent="0.25">
      <c r="A1528" s="23"/>
    </row>
    <row r="1529" spans="1:1" x14ac:dyDescent="0.25">
      <c r="A1529" s="23"/>
    </row>
    <row r="1530" spans="1:1" x14ac:dyDescent="0.25">
      <c r="A1530" s="23"/>
    </row>
    <row r="1531" spans="1:1" x14ac:dyDescent="0.25">
      <c r="A1531" s="23"/>
    </row>
    <row r="1532" spans="1:1" x14ac:dyDescent="0.25">
      <c r="A1532" s="23"/>
    </row>
    <row r="1533" spans="1:1" x14ac:dyDescent="0.25">
      <c r="A1533" s="23"/>
    </row>
    <row r="1534" spans="1:1" x14ac:dyDescent="0.25">
      <c r="A1534" s="23"/>
    </row>
    <row r="1535" spans="1:1" x14ac:dyDescent="0.25">
      <c r="A1535" s="23"/>
    </row>
    <row r="1536" spans="1:1" x14ac:dyDescent="0.25">
      <c r="A1536" s="23"/>
    </row>
    <row r="1537" spans="1:1" x14ac:dyDescent="0.25">
      <c r="A1537" s="23"/>
    </row>
    <row r="1538" spans="1:1" x14ac:dyDescent="0.25">
      <c r="A1538" s="23"/>
    </row>
    <row r="1539" spans="1:1" x14ac:dyDescent="0.25">
      <c r="A1539" s="23"/>
    </row>
    <row r="1540" spans="1:1" x14ac:dyDescent="0.25">
      <c r="A1540" s="23"/>
    </row>
    <row r="1541" spans="1:1" x14ac:dyDescent="0.25">
      <c r="A1541" s="23"/>
    </row>
    <row r="1542" spans="1:1" x14ac:dyDescent="0.25">
      <c r="A1542" s="23"/>
    </row>
    <row r="1543" spans="1:1" x14ac:dyDescent="0.25">
      <c r="A1543" s="23"/>
    </row>
    <row r="1544" spans="1:1" x14ac:dyDescent="0.25">
      <c r="A1544" s="23"/>
    </row>
    <row r="1545" spans="1:1" x14ac:dyDescent="0.25">
      <c r="A1545" s="23"/>
    </row>
    <row r="1546" spans="1:1" x14ac:dyDescent="0.25">
      <c r="A1546" s="23"/>
    </row>
    <row r="1547" spans="1:1" x14ac:dyDescent="0.25">
      <c r="A1547" s="23"/>
    </row>
    <row r="1548" spans="1:1" x14ac:dyDescent="0.25">
      <c r="A1548" s="23"/>
    </row>
    <row r="1549" spans="1:1" x14ac:dyDescent="0.25">
      <c r="A1549" s="23"/>
    </row>
    <row r="1550" spans="1:1" x14ac:dyDescent="0.25">
      <c r="A1550" s="23"/>
    </row>
    <row r="1551" spans="1:1" x14ac:dyDescent="0.25">
      <c r="A1551" s="23"/>
    </row>
    <row r="1552" spans="1:1" x14ac:dyDescent="0.25">
      <c r="A1552" s="23"/>
    </row>
    <row r="1553" spans="1:1" x14ac:dyDescent="0.25">
      <c r="A1553" s="23"/>
    </row>
    <row r="1554" spans="1:1" x14ac:dyDescent="0.25">
      <c r="A1554" s="23"/>
    </row>
    <row r="1555" spans="1:1" x14ac:dyDescent="0.25">
      <c r="A1555" s="23"/>
    </row>
    <row r="1556" spans="1:1" x14ac:dyDescent="0.25">
      <c r="A1556" s="23"/>
    </row>
    <row r="1557" spans="1:1" x14ac:dyDescent="0.25">
      <c r="A1557" s="23"/>
    </row>
    <row r="1558" spans="1:1" x14ac:dyDescent="0.25">
      <c r="A1558" s="23"/>
    </row>
    <row r="1559" spans="1:1" x14ac:dyDescent="0.25">
      <c r="A1559" s="23"/>
    </row>
    <row r="1560" spans="1:1" x14ac:dyDescent="0.25">
      <c r="A1560" s="23"/>
    </row>
    <row r="1561" spans="1:1" x14ac:dyDescent="0.25">
      <c r="A1561" s="23"/>
    </row>
    <row r="1562" spans="1:1" x14ac:dyDescent="0.25">
      <c r="A1562" s="23"/>
    </row>
    <row r="1563" spans="1:1" x14ac:dyDescent="0.25">
      <c r="A1563" s="23"/>
    </row>
    <row r="1564" spans="1:1" x14ac:dyDescent="0.25">
      <c r="A1564" s="23"/>
    </row>
    <row r="1565" spans="1:1" x14ac:dyDescent="0.25">
      <c r="A1565" s="23"/>
    </row>
    <row r="1566" spans="1:1" x14ac:dyDescent="0.25">
      <c r="A1566" s="23"/>
    </row>
    <row r="1567" spans="1:1" x14ac:dyDescent="0.25">
      <c r="A1567" s="23"/>
    </row>
    <row r="1568" spans="1:1" x14ac:dyDescent="0.25">
      <c r="A1568" s="23"/>
    </row>
    <row r="1569" spans="1:1" x14ac:dyDescent="0.25">
      <c r="A1569" s="23"/>
    </row>
    <row r="1570" spans="1:1" x14ac:dyDescent="0.25">
      <c r="A1570" s="23"/>
    </row>
    <row r="1571" spans="1:1" x14ac:dyDescent="0.25">
      <c r="A1571" s="23"/>
    </row>
    <row r="1572" spans="1:1" x14ac:dyDescent="0.25">
      <c r="A1572" s="23"/>
    </row>
    <row r="1573" spans="1:1" x14ac:dyDescent="0.25">
      <c r="A1573" s="23"/>
    </row>
    <row r="1574" spans="1:1" x14ac:dyDescent="0.25">
      <c r="A1574" s="23"/>
    </row>
    <row r="1575" spans="1:1" x14ac:dyDescent="0.25">
      <c r="A1575" s="23"/>
    </row>
    <row r="1576" spans="1:1" x14ac:dyDescent="0.25">
      <c r="A1576" s="23"/>
    </row>
    <row r="1577" spans="1:1" x14ac:dyDescent="0.25">
      <c r="A1577" s="23"/>
    </row>
    <row r="1578" spans="1:1" x14ac:dyDescent="0.25">
      <c r="A1578" s="23"/>
    </row>
    <row r="1579" spans="1:1" x14ac:dyDescent="0.25">
      <c r="A1579" s="23"/>
    </row>
    <row r="1580" spans="1:1" x14ac:dyDescent="0.25">
      <c r="A1580" s="23"/>
    </row>
    <row r="1581" spans="1:1" x14ac:dyDescent="0.25">
      <c r="A1581" s="23"/>
    </row>
    <row r="1582" spans="1:1" x14ac:dyDescent="0.25">
      <c r="A1582" s="23"/>
    </row>
    <row r="1583" spans="1:1" x14ac:dyDescent="0.25">
      <c r="A1583" s="23"/>
    </row>
    <row r="1584" spans="1:1" x14ac:dyDescent="0.25">
      <c r="A1584" s="23"/>
    </row>
    <row r="1585" spans="1:1" x14ac:dyDescent="0.25">
      <c r="A1585" s="23"/>
    </row>
    <row r="1586" spans="1:1" x14ac:dyDescent="0.25">
      <c r="A1586" s="23"/>
    </row>
    <row r="1587" spans="1:1" x14ac:dyDescent="0.25">
      <c r="A1587" s="23"/>
    </row>
    <row r="1588" spans="1:1" x14ac:dyDescent="0.25">
      <c r="A1588" s="23"/>
    </row>
    <row r="1589" spans="1:1" x14ac:dyDescent="0.25">
      <c r="A1589" s="23"/>
    </row>
    <row r="1590" spans="1:1" x14ac:dyDescent="0.25">
      <c r="A1590" s="23"/>
    </row>
    <row r="1591" spans="1:1" x14ac:dyDescent="0.25">
      <c r="A1591" s="23"/>
    </row>
    <row r="1592" spans="1:1" x14ac:dyDescent="0.25">
      <c r="A1592" s="23"/>
    </row>
    <row r="1593" spans="1:1" x14ac:dyDescent="0.25">
      <c r="A1593" s="23"/>
    </row>
    <row r="1594" spans="1:1" x14ac:dyDescent="0.25">
      <c r="A1594" s="23"/>
    </row>
    <row r="1595" spans="1:1" x14ac:dyDescent="0.25">
      <c r="A1595" s="23"/>
    </row>
    <row r="1596" spans="1:1" x14ac:dyDescent="0.25">
      <c r="A1596" s="23"/>
    </row>
    <row r="1597" spans="1:1" x14ac:dyDescent="0.25">
      <c r="A1597" s="23"/>
    </row>
    <row r="1598" spans="1:1" x14ac:dyDescent="0.25">
      <c r="A1598" s="23"/>
    </row>
    <row r="1599" spans="1:1" x14ac:dyDescent="0.25">
      <c r="A1599" s="23"/>
    </row>
    <row r="1600" spans="1:1" x14ac:dyDescent="0.25">
      <c r="A1600" s="23"/>
    </row>
    <row r="1601" spans="1:1" x14ac:dyDescent="0.25">
      <c r="A1601" s="23"/>
    </row>
    <row r="1602" spans="1:1" x14ac:dyDescent="0.25">
      <c r="A1602" s="23"/>
    </row>
    <row r="1603" spans="1:1" x14ac:dyDescent="0.25">
      <c r="A1603" s="23"/>
    </row>
    <row r="1604" spans="1:1" x14ac:dyDescent="0.25">
      <c r="A1604" s="23"/>
    </row>
    <row r="1605" spans="1:1" x14ac:dyDescent="0.25">
      <c r="A1605" s="23"/>
    </row>
    <row r="1606" spans="1:1" x14ac:dyDescent="0.25">
      <c r="A1606" s="23"/>
    </row>
    <row r="1607" spans="1:1" x14ac:dyDescent="0.25">
      <c r="A1607" s="23"/>
    </row>
    <row r="1608" spans="1:1" x14ac:dyDescent="0.25">
      <c r="A1608" s="23"/>
    </row>
    <row r="1609" spans="1:1" x14ac:dyDescent="0.25">
      <c r="A1609" s="23"/>
    </row>
    <row r="1610" spans="1:1" x14ac:dyDescent="0.25">
      <c r="A1610" s="23"/>
    </row>
    <row r="1611" spans="1:1" x14ac:dyDescent="0.25">
      <c r="A1611" s="23"/>
    </row>
    <row r="1612" spans="1:1" x14ac:dyDescent="0.25">
      <c r="A1612" s="23"/>
    </row>
    <row r="1613" spans="1:1" x14ac:dyDescent="0.25">
      <c r="A1613" s="23"/>
    </row>
    <row r="1614" spans="1:1" x14ac:dyDescent="0.25">
      <c r="A1614" s="23"/>
    </row>
    <row r="1615" spans="1:1" x14ac:dyDescent="0.25">
      <c r="A1615" s="23"/>
    </row>
    <row r="1616" spans="1:1" x14ac:dyDescent="0.25">
      <c r="A1616" s="23"/>
    </row>
    <row r="1617" spans="1:1" x14ac:dyDescent="0.25">
      <c r="A1617" s="23"/>
    </row>
    <row r="1618" spans="1:1" x14ac:dyDescent="0.25">
      <c r="A1618" s="23"/>
    </row>
    <row r="1619" spans="1:1" x14ac:dyDescent="0.25">
      <c r="A1619" s="23"/>
    </row>
    <row r="1620" spans="1:1" x14ac:dyDescent="0.25">
      <c r="A1620" s="23"/>
    </row>
    <row r="1621" spans="1:1" x14ac:dyDescent="0.25">
      <c r="A1621" s="23"/>
    </row>
    <row r="1622" spans="1:1" x14ac:dyDescent="0.25">
      <c r="A1622" s="23"/>
    </row>
    <row r="1623" spans="1:1" x14ac:dyDescent="0.25">
      <c r="A1623" s="23"/>
    </row>
    <row r="1624" spans="1:1" x14ac:dyDescent="0.25">
      <c r="A1624" s="23"/>
    </row>
    <row r="1625" spans="1:1" x14ac:dyDescent="0.25">
      <c r="A1625" s="23"/>
    </row>
    <row r="1626" spans="1:1" x14ac:dyDescent="0.25">
      <c r="A1626" s="23"/>
    </row>
    <row r="1627" spans="1:1" x14ac:dyDescent="0.25">
      <c r="A1627" s="23"/>
    </row>
    <row r="1628" spans="1:1" x14ac:dyDescent="0.25">
      <c r="A1628" s="23"/>
    </row>
    <row r="1629" spans="1:1" x14ac:dyDescent="0.25">
      <c r="A1629" s="23"/>
    </row>
    <row r="1630" spans="1:1" x14ac:dyDescent="0.25">
      <c r="A1630" s="23"/>
    </row>
    <row r="1631" spans="1:1" x14ac:dyDescent="0.25">
      <c r="A1631" s="23"/>
    </row>
    <row r="1632" spans="1:1" x14ac:dyDescent="0.25">
      <c r="A1632" s="23"/>
    </row>
    <row r="1633" spans="1:1" x14ac:dyDescent="0.25">
      <c r="A1633" s="23"/>
    </row>
    <row r="1634" spans="1:1" x14ac:dyDescent="0.25">
      <c r="A1634" s="23"/>
    </row>
    <row r="1635" spans="1:1" x14ac:dyDescent="0.25">
      <c r="A1635" s="23"/>
    </row>
    <row r="1636" spans="1:1" x14ac:dyDescent="0.25">
      <c r="A1636" s="23"/>
    </row>
    <row r="1637" spans="1:1" x14ac:dyDescent="0.25">
      <c r="A1637" s="23"/>
    </row>
    <row r="1638" spans="1:1" x14ac:dyDescent="0.25">
      <c r="A1638" s="23"/>
    </row>
    <row r="1639" spans="1:1" x14ac:dyDescent="0.25">
      <c r="A1639" s="23"/>
    </row>
    <row r="1640" spans="1:1" x14ac:dyDescent="0.25">
      <c r="A1640" s="23"/>
    </row>
    <row r="1641" spans="1:1" x14ac:dyDescent="0.25">
      <c r="A1641" s="23"/>
    </row>
    <row r="1642" spans="1:1" x14ac:dyDescent="0.25">
      <c r="A1642" s="23"/>
    </row>
    <row r="1643" spans="1:1" x14ac:dyDescent="0.25">
      <c r="A1643" s="23"/>
    </row>
    <row r="1644" spans="1:1" x14ac:dyDescent="0.25">
      <c r="A1644" s="23"/>
    </row>
    <row r="1645" spans="1:1" x14ac:dyDescent="0.25">
      <c r="A1645" s="23"/>
    </row>
    <row r="1646" spans="1:1" x14ac:dyDescent="0.25">
      <c r="A1646" s="23"/>
    </row>
    <row r="1647" spans="1:1" x14ac:dyDescent="0.25">
      <c r="A1647" s="23"/>
    </row>
    <row r="1648" spans="1:1" x14ac:dyDescent="0.25">
      <c r="A1648" s="23"/>
    </row>
    <row r="1649" spans="1:1" x14ac:dyDescent="0.25">
      <c r="A1649" s="23"/>
    </row>
    <row r="1650" spans="1:1" x14ac:dyDescent="0.25">
      <c r="A1650" s="23"/>
    </row>
    <row r="1651" spans="1:1" x14ac:dyDescent="0.25">
      <c r="A1651" s="23"/>
    </row>
    <row r="1652" spans="1:1" x14ac:dyDescent="0.25">
      <c r="A1652" s="23"/>
    </row>
    <row r="1653" spans="1:1" x14ac:dyDescent="0.25">
      <c r="A1653" s="23"/>
    </row>
    <row r="1654" spans="1:1" x14ac:dyDescent="0.25">
      <c r="A1654" s="23"/>
    </row>
    <row r="1655" spans="1:1" x14ac:dyDescent="0.25">
      <c r="A1655" s="23"/>
    </row>
    <row r="1656" spans="1:1" x14ac:dyDescent="0.25">
      <c r="A1656" s="23"/>
    </row>
    <row r="1657" spans="1:1" x14ac:dyDescent="0.25">
      <c r="A1657" s="23"/>
    </row>
    <row r="1658" spans="1:1" x14ac:dyDescent="0.25">
      <c r="A1658" s="23"/>
    </row>
    <row r="1659" spans="1:1" x14ac:dyDescent="0.25">
      <c r="A1659" s="23"/>
    </row>
    <row r="1660" spans="1:1" x14ac:dyDescent="0.25">
      <c r="A1660" s="23"/>
    </row>
    <row r="1661" spans="1:1" x14ac:dyDescent="0.25">
      <c r="A1661" s="23"/>
    </row>
    <row r="1662" spans="1:1" x14ac:dyDescent="0.25">
      <c r="A1662" s="23"/>
    </row>
    <row r="1663" spans="1:1" x14ac:dyDescent="0.25">
      <c r="A1663" s="23"/>
    </row>
    <row r="1664" spans="1:1" x14ac:dyDescent="0.25">
      <c r="A1664" s="23"/>
    </row>
    <row r="1665" spans="1:1" x14ac:dyDescent="0.25">
      <c r="A1665" s="23"/>
    </row>
    <row r="1666" spans="1:1" x14ac:dyDescent="0.25">
      <c r="A1666" s="23"/>
    </row>
    <row r="1667" spans="1:1" x14ac:dyDescent="0.25">
      <c r="A1667" s="23"/>
    </row>
    <row r="1668" spans="1:1" x14ac:dyDescent="0.25">
      <c r="A1668" s="23"/>
    </row>
    <row r="1669" spans="1:1" x14ac:dyDescent="0.25">
      <c r="A1669" s="23"/>
    </row>
    <row r="1670" spans="1:1" x14ac:dyDescent="0.25">
      <c r="A1670" s="23"/>
    </row>
    <row r="1671" spans="1:1" x14ac:dyDescent="0.25">
      <c r="A1671" s="23"/>
    </row>
    <row r="1672" spans="1:1" x14ac:dyDescent="0.25">
      <c r="A1672" s="23"/>
    </row>
    <row r="1673" spans="1:1" x14ac:dyDescent="0.25">
      <c r="A1673" s="23"/>
    </row>
    <row r="1674" spans="1:1" x14ac:dyDescent="0.25">
      <c r="A1674" s="23"/>
    </row>
    <row r="1675" spans="1:1" x14ac:dyDescent="0.25">
      <c r="A1675" s="23"/>
    </row>
    <row r="1676" spans="1:1" x14ac:dyDescent="0.25">
      <c r="A1676" s="23"/>
    </row>
    <row r="1677" spans="1:1" x14ac:dyDescent="0.25">
      <c r="A1677" s="23"/>
    </row>
    <row r="1678" spans="1:1" x14ac:dyDescent="0.25">
      <c r="A1678" s="23"/>
    </row>
    <row r="1679" spans="1:1" x14ac:dyDescent="0.25">
      <c r="A1679" s="23"/>
    </row>
    <row r="1680" spans="1:1" x14ac:dyDescent="0.25">
      <c r="A1680" s="23"/>
    </row>
    <row r="1681" spans="1:1" x14ac:dyDescent="0.25">
      <c r="A1681" s="23"/>
    </row>
    <row r="1682" spans="1:1" x14ac:dyDescent="0.25">
      <c r="A1682" s="23"/>
    </row>
    <row r="1683" spans="1:1" x14ac:dyDescent="0.25">
      <c r="A1683" s="23"/>
    </row>
    <row r="1684" spans="1:1" x14ac:dyDescent="0.25">
      <c r="A1684" s="23"/>
    </row>
    <row r="1685" spans="1:1" x14ac:dyDescent="0.25">
      <c r="A1685" s="23"/>
    </row>
    <row r="1686" spans="1:1" x14ac:dyDescent="0.25">
      <c r="A1686" s="23"/>
    </row>
    <row r="1687" spans="1:1" x14ac:dyDescent="0.25">
      <c r="A1687" s="23"/>
    </row>
    <row r="1688" spans="1:1" x14ac:dyDescent="0.25">
      <c r="A1688" s="23"/>
    </row>
    <row r="1689" spans="1:1" x14ac:dyDescent="0.25">
      <c r="A1689" s="23"/>
    </row>
    <row r="1690" spans="1:1" x14ac:dyDescent="0.25">
      <c r="A1690" s="23"/>
    </row>
    <row r="1691" spans="1:1" x14ac:dyDescent="0.25">
      <c r="A1691" s="23"/>
    </row>
    <row r="1692" spans="1:1" x14ac:dyDescent="0.25">
      <c r="A1692" s="23"/>
    </row>
    <row r="1693" spans="1:1" x14ac:dyDescent="0.25">
      <c r="A1693" s="23"/>
    </row>
    <row r="1694" spans="1:1" x14ac:dyDescent="0.25">
      <c r="A1694" s="23"/>
    </row>
    <row r="1695" spans="1:1" x14ac:dyDescent="0.25">
      <c r="A1695" s="23"/>
    </row>
    <row r="1696" spans="1:1" x14ac:dyDescent="0.25">
      <c r="A1696" s="23"/>
    </row>
    <row r="1697" spans="1:1" x14ac:dyDescent="0.25">
      <c r="A1697" s="23"/>
    </row>
    <row r="1698" spans="1:1" x14ac:dyDescent="0.25">
      <c r="A1698" s="23"/>
    </row>
    <row r="1699" spans="1:1" x14ac:dyDescent="0.25">
      <c r="A1699" s="23"/>
    </row>
    <row r="1700" spans="1:1" x14ac:dyDescent="0.25">
      <c r="A1700" s="23"/>
    </row>
    <row r="1701" spans="1:1" x14ac:dyDescent="0.25">
      <c r="A1701" s="23"/>
    </row>
    <row r="1702" spans="1:1" x14ac:dyDescent="0.25">
      <c r="A1702" s="23"/>
    </row>
    <row r="1703" spans="1:1" x14ac:dyDescent="0.25">
      <c r="A1703" s="23"/>
    </row>
    <row r="1704" spans="1:1" x14ac:dyDescent="0.25">
      <c r="A1704" s="23"/>
    </row>
    <row r="1705" spans="1:1" x14ac:dyDescent="0.25">
      <c r="A1705" s="23"/>
    </row>
    <row r="1706" spans="1:1" x14ac:dyDescent="0.25">
      <c r="A1706" s="23"/>
    </row>
    <row r="1707" spans="1:1" x14ac:dyDescent="0.25">
      <c r="A1707" s="23"/>
    </row>
    <row r="1708" spans="1:1" x14ac:dyDescent="0.25">
      <c r="A1708" s="23"/>
    </row>
    <row r="1709" spans="1:1" x14ac:dyDescent="0.25">
      <c r="A1709" s="23"/>
    </row>
    <row r="1710" spans="1:1" x14ac:dyDescent="0.25">
      <c r="A1710" s="23"/>
    </row>
    <row r="1711" spans="1:1" x14ac:dyDescent="0.25">
      <c r="A1711" s="23"/>
    </row>
    <row r="1712" spans="1:1" x14ac:dyDescent="0.25">
      <c r="A1712" s="23"/>
    </row>
    <row r="1713" spans="1:1" x14ac:dyDescent="0.25">
      <c r="A1713" s="23"/>
    </row>
    <row r="1714" spans="1:1" x14ac:dyDescent="0.25">
      <c r="A1714" s="23"/>
    </row>
    <row r="1715" spans="1:1" x14ac:dyDescent="0.25">
      <c r="A1715" s="23"/>
    </row>
    <row r="1716" spans="1:1" x14ac:dyDescent="0.25">
      <c r="A1716" s="23"/>
    </row>
    <row r="1717" spans="1:1" x14ac:dyDescent="0.25">
      <c r="A1717" s="23"/>
    </row>
    <row r="1718" spans="1:1" x14ac:dyDescent="0.25">
      <c r="A1718" s="23"/>
    </row>
    <row r="1719" spans="1:1" x14ac:dyDescent="0.25">
      <c r="A1719" s="23"/>
    </row>
    <row r="1720" spans="1:1" x14ac:dyDescent="0.25">
      <c r="A1720" s="23"/>
    </row>
    <row r="1721" spans="1:1" x14ac:dyDescent="0.25">
      <c r="A1721" s="23"/>
    </row>
    <row r="1722" spans="1:1" x14ac:dyDescent="0.25">
      <c r="A1722" s="23"/>
    </row>
    <row r="1723" spans="1:1" x14ac:dyDescent="0.25">
      <c r="A1723" s="23"/>
    </row>
    <row r="1724" spans="1:1" x14ac:dyDescent="0.25">
      <c r="A1724" s="23"/>
    </row>
    <row r="1725" spans="1:1" x14ac:dyDescent="0.25">
      <c r="A1725" s="23"/>
    </row>
    <row r="1726" spans="1:1" x14ac:dyDescent="0.25">
      <c r="A1726" s="23"/>
    </row>
    <row r="1727" spans="1:1" x14ac:dyDescent="0.25">
      <c r="A1727" s="23"/>
    </row>
    <row r="1728" spans="1:1" x14ac:dyDescent="0.25">
      <c r="A1728" s="23"/>
    </row>
    <row r="1729" spans="1:1" x14ac:dyDescent="0.25">
      <c r="A1729" s="23"/>
    </row>
    <row r="1730" spans="1:1" x14ac:dyDescent="0.25">
      <c r="A1730" s="23"/>
    </row>
    <row r="1731" spans="1:1" x14ac:dyDescent="0.25">
      <c r="A1731" s="23"/>
    </row>
    <row r="1732" spans="1:1" x14ac:dyDescent="0.25">
      <c r="A1732" s="23"/>
    </row>
    <row r="1733" spans="1:1" x14ac:dyDescent="0.25">
      <c r="A1733" s="23"/>
    </row>
    <row r="1734" spans="1:1" x14ac:dyDescent="0.25">
      <c r="A1734" s="23"/>
    </row>
    <row r="1735" spans="1:1" x14ac:dyDescent="0.25">
      <c r="A1735" s="23"/>
    </row>
    <row r="1736" spans="1:1" x14ac:dyDescent="0.25">
      <c r="A1736" s="23"/>
    </row>
    <row r="1737" spans="1:1" x14ac:dyDescent="0.25">
      <c r="A1737" s="23"/>
    </row>
    <row r="1738" spans="1:1" x14ac:dyDescent="0.25">
      <c r="A1738" s="23"/>
    </row>
    <row r="1739" spans="1:1" x14ac:dyDescent="0.25">
      <c r="A1739" s="23"/>
    </row>
    <row r="1740" spans="1:1" x14ac:dyDescent="0.25">
      <c r="A1740" s="23"/>
    </row>
    <row r="1741" spans="1:1" x14ac:dyDescent="0.25">
      <c r="A1741" s="23"/>
    </row>
    <row r="1742" spans="1:1" x14ac:dyDescent="0.25">
      <c r="A1742" s="23"/>
    </row>
    <row r="1743" spans="1:1" x14ac:dyDescent="0.25">
      <c r="A1743" s="23"/>
    </row>
    <row r="1744" spans="1:1" x14ac:dyDescent="0.25">
      <c r="A1744" s="23"/>
    </row>
    <row r="1745" spans="1:1" x14ac:dyDescent="0.25">
      <c r="A1745" s="23"/>
    </row>
    <row r="1746" spans="1:1" x14ac:dyDescent="0.25">
      <c r="A1746" s="23"/>
    </row>
    <row r="1747" spans="1:1" x14ac:dyDescent="0.25">
      <c r="A1747" s="23"/>
    </row>
    <row r="1748" spans="1:1" x14ac:dyDescent="0.25">
      <c r="A1748" s="23"/>
    </row>
    <row r="1749" spans="1:1" x14ac:dyDescent="0.25">
      <c r="A1749" s="23"/>
    </row>
    <row r="1750" spans="1:1" x14ac:dyDescent="0.25">
      <c r="A1750" s="23"/>
    </row>
    <row r="1751" spans="1:1" x14ac:dyDescent="0.25">
      <c r="A1751" s="23"/>
    </row>
    <row r="1752" spans="1:1" x14ac:dyDescent="0.25">
      <c r="A1752" s="23"/>
    </row>
    <row r="1753" spans="1:1" x14ac:dyDescent="0.25">
      <c r="A1753" s="23"/>
    </row>
    <row r="1754" spans="1:1" x14ac:dyDescent="0.25">
      <c r="A1754" s="23"/>
    </row>
    <row r="1755" spans="1:1" x14ac:dyDescent="0.25">
      <c r="A1755" s="23"/>
    </row>
    <row r="1756" spans="1:1" x14ac:dyDescent="0.25">
      <c r="A1756" s="23"/>
    </row>
    <row r="1757" spans="1:1" x14ac:dyDescent="0.25">
      <c r="A1757" s="23"/>
    </row>
    <row r="1758" spans="1:1" x14ac:dyDescent="0.25">
      <c r="A1758" s="23"/>
    </row>
    <row r="1759" spans="1:1" x14ac:dyDescent="0.25">
      <c r="A1759" s="23"/>
    </row>
    <row r="1760" spans="1:1" x14ac:dyDescent="0.25">
      <c r="A1760" s="23"/>
    </row>
    <row r="1761" spans="1:1" x14ac:dyDescent="0.25">
      <c r="A1761" s="23"/>
    </row>
    <row r="1762" spans="1:1" x14ac:dyDescent="0.25">
      <c r="A1762" s="23"/>
    </row>
    <row r="1763" spans="1:1" x14ac:dyDescent="0.25">
      <c r="A1763" s="23"/>
    </row>
    <row r="1764" spans="1:1" x14ac:dyDescent="0.25">
      <c r="A1764" s="23"/>
    </row>
    <row r="1765" spans="1:1" x14ac:dyDescent="0.25">
      <c r="A1765" s="23"/>
    </row>
    <row r="1766" spans="1:1" x14ac:dyDescent="0.25">
      <c r="A1766" s="23"/>
    </row>
    <row r="1767" spans="1:1" x14ac:dyDescent="0.25">
      <c r="A1767" s="23"/>
    </row>
    <row r="1768" spans="1:1" x14ac:dyDescent="0.25">
      <c r="A1768" s="23"/>
    </row>
    <row r="1769" spans="1:1" x14ac:dyDescent="0.25">
      <c r="A1769" s="23"/>
    </row>
    <row r="1770" spans="1:1" x14ac:dyDescent="0.25">
      <c r="A1770" s="23"/>
    </row>
    <row r="1771" spans="1:1" x14ac:dyDescent="0.25">
      <c r="A1771" s="23"/>
    </row>
    <row r="1772" spans="1:1" x14ac:dyDescent="0.25">
      <c r="A1772" s="23"/>
    </row>
    <row r="1773" spans="1:1" x14ac:dyDescent="0.25">
      <c r="A1773" s="23"/>
    </row>
    <row r="1774" spans="1:1" x14ac:dyDescent="0.25">
      <c r="A1774" s="23"/>
    </row>
    <row r="1775" spans="1:1" x14ac:dyDescent="0.25">
      <c r="A1775" s="23"/>
    </row>
    <row r="1776" spans="1:1" x14ac:dyDescent="0.25">
      <c r="A1776" s="23"/>
    </row>
    <row r="1777" spans="1:1" x14ac:dyDescent="0.25">
      <c r="A1777" s="23"/>
    </row>
    <row r="1778" spans="1:1" x14ac:dyDescent="0.25">
      <c r="A1778" s="23"/>
    </row>
    <row r="1779" spans="1:1" x14ac:dyDescent="0.25">
      <c r="A1779" s="23"/>
    </row>
    <row r="1780" spans="1:1" x14ac:dyDescent="0.25">
      <c r="A1780" s="23"/>
    </row>
    <row r="1781" spans="1:1" x14ac:dyDescent="0.25">
      <c r="A1781" s="23"/>
    </row>
    <row r="1782" spans="1:1" x14ac:dyDescent="0.25">
      <c r="A1782" s="23"/>
    </row>
    <row r="1783" spans="1:1" x14ac:dyDescent="0.25">
      <c r="A1783" s="23"/>
    </row>
    <row r="1784" spans="1:1" x14ac:dyDescent="0.25">
      <c r="A1784" s="23"/>
    </row>
    <row r="1785" spans="1:1" x14ac:dyDescent="0.25">
      <c r="A1785" s="23"/>
    </row>
    <row r="1786" spans="1:1" x14ac:dyDescent="0.25">
      <c r="A1786" s="23"/>
    </row>
    <row r="1787" spans="1:1" x14ac:dyDescent="0.25">
      <c r="A1787" s="23"/>
    </row>
    <row r="1788" spans="1:1" x14ac:dyDescent="0.25">
      <c r="A1788" s="23"/>
    </row>
    <row r="1789" spans="1:1" x14ac:dyDescent="0.25">
      <c r="A1789" s="23"/>
    </row>
    <row r="1790" spans="1:1" x14ac:dyDescent="0.25">
      <c r="A1790" s="23"/>
    </row>
    <row r="1791" spans="1:1" x14ac:dyDescent="0.25">
      <c r="A1791" s="23"/>
    </row>
    <row r="1792" spans="1:1" x14ac:dyDescent="0.25">
      <c r="A1792" s="23"/>
    </row>
    <row r="1793" spans="1:1" x14ac:dyDescent="0.25">
      <c r="A1793" s="23"/>
    </row>
    <row r="1794" spans="1:1" x14ac:dyDescent="0.25">
      <c r="A1794" s="23"/>
    </row>
    <row r="1795" spans="1:1" x14ac:dyDescent="0.25">
      <c r="A1795" s="23"/>
    </row>
    <row r="1796" spans="1:1" x14ac:dyDescent="0.25">
      <c r="A1796" s="23"/>
    </row>
    <row r="1797" spans="1:1" x14ac:dyDescent="0.25">
      <c r="A1797" s="23"/>
    </row>
    <row r="1798" spans="1:1" x14ac:dyDescent="0.25">
      <c r="A1798" s="23"/>
    </row>
    <row r="1799" spans="1:1" x14ac:dyDescent="0.25">
      <c r="A1799" s="23"/>
    </row>
    <row r="1800" spans="1:1" x14ac:dyDescent="0.25">
      <c r="A1800" s="23"/>
    </row>
    <row r="1801" spans="1:1" x14ac:dyDescent="0.25">
      <c r="A1801" s="23"/>
    </row>
    <row r="1802" spans="1:1" x14ac:dyDescent="0.25">
      <c r="A1802" s="23"/>
    </row>
    <row r="1803" spans="1:1" x14ac:dyDescent="0.25">
      <c r="A1803" s="23"/>
    </row>
    <row r="1804" spans="1:1" x14ac:dyDescent="0.25">
      <c r="A1804" s="23"/>
    </row>
    <row r="1805" spans="1:1" x14ac:dyDescent="0.25">
      <c r="A1805" s="23"/>
    </row>
    <row r="1806" spans="1:1" x14ac:dyDescent="0.25">
      <c r="A1806" s="23"/>
    </row>
    <row r="1807" spans="1:1" x14ac:dyDescent="0.25">
      <c r="A1807" s="23"/>
    </row>
    <row r="1808" spans="1:1" x14ac:dyDescent="0.25">
      <c r="A1808" s="23"/>
    </row>
    <row r="1809" spans="1:1" x14ac:dyDescent="0.25">
      <c r="A1809" s="23"/>
    </row>
    <row r="1810" spans="1:1" x14ac:dyDescent="0.25">
      <c r="A1810" s="23"/>
    </row>
    <row r="1811" spans="1:1" x14ac:dyDescent="0.25">
      <c r="A1811" s="23"/>
    </row>
    <row r="1812" spans="1:1" x14ac:dyDescent="0.25">
      <c r="A1812" s="23"/>
    </row>
    <row r="1813" spans="1:1" x14ac:dyDescent="0.25">
      <c r="A1813" s="23"/>
    </row>
    <row r="1814" spans="1:1" x14ac:dyDescent="0.25">
      <c r="A1814" s="23"/>
    </row>
    <row r="1815" spans="1:1" x14ac:dyDescent="0.25">
      <c r="A1815" s="23"/>
    </row>
    <row r="1816" spans="1:1" x14ac:dyDescent="0.25">
      <c r="A1816" s="23"/>
    </row>
    <row r="1817" spans="1:1" x14ac:dyDescent="0.25">
      <c r="A1817" s="23"/>
    </row>
    <row r="1818" spans="1:1" x14ac:dyDescent="0.25">
      <c r="A1818" s="23"/>
    </row>
    <row r="1819" spans="1:1" x14ac:dyDescent="0.25">
      <c r="A1819" s="23"/>
    </row>
    <row r="1820" spans="1:1" x14ac:dyDescent="0.25">
      <c r="A1820" s="23"/>
    </row>
    <row r="1821" spans="1:1" x14ac:dyDescent="0.25">
      <c r="A1821" s="23"/>
    </row>
    <row r="1822" spans="1:1" x14ac:dyDescent="0.25">
      <c r="A1822" s="23"/>
    </row>
    <row r="1823" spans="1:1" x14ac:dyDescent="0.25">
      <c r="A1823" s="23"/>
    </row>
    <row r="1824" spans="1:1" x14ac:dyDescent="0.25">
      <c r="A1824" s="23"/>
    </row>
    <row r="1825" spans="1:1" x14ac:dyDescent="0.25">
      <c r="A1825" s="23"/>
    </row>
    <row r="1826" spans="1:1" x14ac:dyDescent="0.25">
      <c r="A1826" s="23"/>
    </row>
    <row r="1827" spans="1:1" x14ac:dyDescent="0.25">
      <c r="A1827" s="23"/>
    </row>
    <row r="1828" spans="1:1" x14ac:dyDescent="0.25">
      <c r="A1828" s="23"/>
    </row>
    <row r="1829" spans="1:1" x14ac:dyDescent="0.25">
      <c r="A1829" s="23"/>
    </row>
    <row r="1830" spans="1:1" x14ac:dyDescent="0.25">
      <c r="A1830" s="23"/>
    </row>
    <row r="1831" spans="1:1" x14ac:dyDescent="0.25">
      <c r="A1831" s="23"/>
    </row>
    <row r="1832" spans="1:1" x14ac:dyDescent="0.25">
      <c r="A1832" s="23"/>
    </row>
    <row r="1833" spans="1:1" x14ac:dyDescent="0.25">
      <c r="A1833" s="23"/>
    </row>
    <row r="1834" spans="1:1" x14ac:dyDescent="0.25">
      <c r="A1834" s="23"/>
    </row>
    <row r="1835" spans="1:1" x14ac:dyDescent="0.25">
      <c r="A1835" s="23"/>
    </row>
    <row r="1836" spans="1:1" x14ac:dyDescent="0.25">
      <c r="A1836" s="23"/>
    </row>
    <row r="1837" spans="1:1" x14ac:dyDescent="0.25">
      <c r="A1837" s="23"/>
    </row>
    <row r="1838" spans="1:1" x14ac:dyDescent="0.25">
      <c r="A1838" s="23"/>
    </row>
    <row r="1839" spans="1:1" x14ac:dyDescent="0.25">
      <c r="A1839" s="23"/>
    </row>
    <row r="1840" spans="1:1" x14ac:dyDescent="0.25">
      <c r="A1840" s="23"/>
    </row>
    <row r="1841" spans="1:1" x14ac:dyDescent="0.25">
      <c r="A1841" s="23"/>
    </row>
    <row r="1842" spans="1:1" x14ac:dyDescent="0.25">
      <c r="A1842" s="23"/>
    </row>
    <row r="1843" spans="1:1" x14ac:dyDescent="0.25">
      <c r="A1843" s="23"/>
    </row>
    <row r="1844" spans="1:1" x14ac:dyDescent="0.25">
      <c r="A1844" s="23"/>
    </row>
    <row r="1845" spans="1:1" x14ac:dyDescent="0.25">
      <c r="A1845" s="23"/>
    </row>
    <row r="1846" spans="1:1" x14ac:dyDescent="0.25">
      <c r="A1846" s="23"/>
    </row>
    <row r="1847" spans="1:1" x14ac:dyDescent="0.25">
      <c r="A1847" s="23"/>
    </row>
    <row r="1848" spans="1:1" x14ac:dyDescent="0.25">
      <c r="A1848" s="23"/>
    </row>
    <row r="1849" spans="1:1" x14ac:dyDescent="0.25">
      <c r="A1849" s="23"/>
    </row>
    <row r="1850" spans="1:1" x14ac:dyDescent="0.25">
      <c r="A1850" s="23"/>
    </row>
    <row r="1851" spans="1:1" x14ac:dyDescent="0.25">
      <c r="A1851" s="23"/>
    </row>
    <row r="1852" spans="1:1" x14ac:dyDescent="0.25">
      <c r="A1852" s="23"/>
    </row>
    <row r="1853" spans="1:1" x14ac:dyDescent="0.25">
      <c r="A1853" s="23"/>
    </row>
    <row r="1854" spans="1:1" x14ac:dyDescent="0.25">
      <c r="A1854" s="23"/>
    </row>
    <row r="1855" spans="1:1" x14ac:dyDescent="0.25">
      <c r="A1855" s="23"/>
    </row>
    <row r="1856" spans="1:1" x14ac:dyDescent="0.25">
      <c r="A1856" s="23"/>
    </row>
    <row r="1857" spans="1:1" x14ac:dyDescent="0.25">
      <c r="A1857" s="23"/>
    </row>
    <row r="1858" spans="1:1" x14ac:dyDescent="0.25">
      <c r="A1858" s="23"/>
    </row>
    <row r="1859" spans="1:1" x14ac:dyDescent="0.25">
      <c r="A1859" s="23"/>
    </row>
    <row r="1860" spans="1:1" x14ac:dyDescent="0.25">
      <c r="A1860" s="23"/>
    </row>
    <row r="1861" spans="1:1" x14ac:dyDescent="0.25">
      <c r="A1861" s="23"/>
    </row>
    <row r="1862" spans="1:1" x14ac:dyDescent="0.25">
      <c r="A1862" s="23"/>
    </row>
    <row r="1863" spans="1:1" x14ac:dyDescent="0.25">
      <c r="A1863" s="23"/>
    </row>
    <row r="1864" spans="1:1" x14ac:dyDescent="0.25">
      <c r="A1864" s="23"/>
    </row>
    <row r="1865" spans="1:1" x14ac:dyDescent="0.25">
      <c r="A1865" s="23"/>
    </row>
    <row r="1866" spans="1:1" x14ac:dyDescent="0.25">
      <c r="A1866" s="23"/>
    </row>
    <row r="1867" spans="1:1" x14ac:dyDescent="0.25">
      <c r="A1867" s="23"/>
    </row>
    <row r="1868" spans="1:1" x14ac:dyDescent="0.25">
      <c r="A1868" s="23"/>
    </row>
    <row r="1869" spans="1:1" x14ac:dyDescent="0.25">
      <c r="A1869" s="23"/>
    </row>
    <row r="1870" spans="1:1" x14ac:dyDescent="0.25">
      <c r="A1870" s="23"/>
    </row>
    <row r="1871" spans="1:1" x14ac:dyDescent="0.25">
      <c r="A1871" s="23"/>
    </row>
    <row r="1872" spans="1:1" x14ac:dyDescent="0.25">
      <c r="A1872" s="23"/>
    </row>
    <row r="1873" spans="1:1" x14ac:dyDescent="0.25">
      <c r="A1873" s="23"/>
    </row>
    <row r="1874" spans="1:1" x14ac:dyDescent="0.25">
      <c r="A1874" s="23"/>
    </row>
    <row r="1875" spans="1:1" x14ac:dyDescent="0.25">
      <c r="A1875" s="23"/>
    </row>
    <row r="1876" spans="1:1" x14ac:dyDescent="0.25">
      <c r="A1876" s="23"/>
    </row>
    <row r="1877" spans="1:1" x14ac:dyDescent="0.25">
      <c r="A1877" s="23"/>
    </row>
    <row r="1878" spans="1:1" x14ac:dyDescent="0.25">
      <c r="A1878" s="23"/>
    </row>
    <row r="1879" spans="1:1" x14ac:dyDescent="0.25">
      <c r="A1879" s="23"/>
    </row>
    <row r="1880" spans="1:1" x14ac:dyDescent="0.25">
      <c r="A1880" s="23"/>
    </row>
    <row r="1881" spans="1:1" x14ac:dyDescent="0.25">
      <c r="A1881" s="23"/>
    </row>
    <row r="1882" spans="1:1" x14ac:dyDescent="0.25">
      <c r="A1882" s="23"/>
    </row>
    <row r="1883" spans="1:1" x14ac:dyDescent="0.25">
      <c r="A1883" s="23"/>
    </row>
    <row r="1884" spans="1:1" x14ac:dyDescent="0.25">
      <c r="A1884" s="23"/>
    </row>
    <row r="1885" spans="1:1" x14ac:dyDescent="0.25">
      <c r="A1885" s="23"/>
    </row>
    <row r="1886" spans="1:1" x14ac:dyDescent="0.25">
      <c r="A1886" s="23"/>
    </row>
    <row r="1887" spans="1:1" x14ac:dyDescent="0.25">
      <c r="A1887" s="23"/>
    </row>
    <row r="1888" spans="1:1" x14ac:dyDescent="0.25">
      <c r="A1888" s="23"/>
    </row>
    <row r="1889" spans="1:1" x14ac:dyDescent="0.25">
      <c r="A1889" s="23"/>
    </row>
    <row r="1890" spans="1:1" x14ac:dyDescent="0.25">
      <c r="A1890" s="23"/>
    </row>
    <row r="1891" spans="1:1" x14ac:dyDescent="0.25">
      <c r="A1891" s="23"/>
    </row>
    <row r="1892" spans="1:1" x14ac:dyDescent="0.25">
      <c r="A1892" s="23"/>
    </row>
    <row r="1893" spans="1:1" x14ac:dyDescent="0.25">
      <c r="A1893" s="23"/>
    </row>
    <row r="1894" spans="1:1" x14ac:dyDescent="0.25">
      <c r="A1894" s="23"/>
    </row>
    <row r="1895" spans="1:1" x14ac:dyDescent="0.25">
      <c r="A1895" s="23"/>
    </row>
    <row r="1896" spans="1:1" x14ac:dyDescent="0.25">
      <c r="A1896" s="23"/>
    </row>
    <row r="1897" spans="1:1" x14ac:dyDescent="0.25">
      <c r="A1897" s="23"/>
    </row>
    <row r="1898" spans="1:1" x14ac:dyDescent="0.25">
      <c r="A1898" s="23"/>
    </row>
    <row r="1899" spans="1:1" x14ac:dyDescent="0.25">
      <c r="A1899" s="23"/>
    </row>
    <row r="1900" spans="1:1" x14ac:dyDescent="0.25">
      <c r="A1900" s="23"/>
    </row>
    <row r="1901" spans="1:1" x14ac:dyDescent="0.25">
      <c r="A1901" s="23"/>
    </row>
    <row r="1902" spans="1:1" x14ac:dyDescent="0.25">
      <c r="A1902" s="23"/>
    </row>
    <row r="1903" spans="1:1" x14ac:dyDescent="0.25">
      <c r="A1903" s="23"/>
    </row>
    <row r="1904" spans="1:1" x14ac:dyDescent="0.25">
      <c r="A1904" s="23"/>
    </row>
    <row r="1905" spans="1:1" x14ac:dyDescent="0.25">
      <c r="A1905" s="23"/>
    </row>
    <row r="1906" spans="1:1" x14ac:dyDescent="0.25">
      <c r="A1906" s="23"/>
    </row>
    <row r="1907" spans="1:1" x14ac:dyDescent="0.25">
      <c r="A1907" s="23"/>
    </row>
    <row r="1908" spans="1:1" x14ac:dyDescent="0.25">
      <c r="A1908" s="23"/>
    </row>
    <row r="1909" spans="1:1" x14ac:dyDescent="0.25">
      <c r="A1909" s="23"/>
    </row>
    <row r="1910" spans="1:1" x14ac:dyDescent="0.25">
      <c r="A1910" s="23"/>
    </row>
    <row r="1911" spans="1:1" x14ac:dyDescent="0.25">
      <c r="A1911" s="23"/>
    </row>
    <row r="1912" spans="1:1" x14ac:dyDescent="0.25">
      <c r="A1912" s="23"/>
    </row>
    <row r="1913" spans="1:1" x14ac:dyDescent="0.25">
      <c r="A1913" s="23"/>
    </row>
    <row r="1914" spans="1:1" x14ac:dyDescent="0.25">
      <c r="A1914" s="23"/>
    </row>
    <row r="1915" spans="1:1" x14ac:dyDescent="0.25">
      <c r="A1915" s="23"/>
    </row>
    <row r="1916" spans="1:1" x14ac:dyDescent="0.25">
      <c r="A1916" s="23"/>
    </row>
    <row r="1917" spans="1:1" x14ac:dyDescent="0.25">
      <c r="A1917" s="23"/>
    </row>
    <row r="1918" spans="1:1" x14ac:dyDescent="0.25">
      <c r="A1918" s="23"/>
    </row>
    <row r="1919" spans="1:1" x14ac:dyDescent="0.25">
      <c r="A1919" s="23"/>
    </row>
    <row r="1920" spans="1:1" x14ac:dyDescent="0.25">
      <c r="A1920" s="23"/>
    </row>
    <row r="1921" spans="1:1" x14ac:dyDescent="0.25">
      <c r="A1921" s="23"/>
    </row>
    <row r="1922" spans="1:1" x14ac:dyDescent="0.25">
      <c r="A1922" s="23"/>
    </row>
    <row r="1923" spans="1:1" x14ac:dyDescent="0.25">
      <c r="A1923" s="23"/>
    </row>
    <row r="1924" spans="1:1" x14ac:dyDescent="0.25">
      <c r="A1924" s="23"/>
    </row>
    <row r="1925" spans="1:1" x14ac:dyDescent="0.25">
      <c r="A1925" s="23"/>
    </row>
    <row r="1926" spans="1:1" x14ac:dyDescent="0.25">
      <c r="A1926" s="23"/>
    </row>
    <row r="1927" spans="1:1" x14ac:dyDescent="0.25">
      <c r="A1927" s="23"/>
    </row>
    <row r="1928" spans="1:1" x14ac:dyDescent="0.25">
      <c r="A1928" s="23"/>
    </row>
    <row r="1929" spans="1:1" x14ac:dyDescent="0.25">
      <c r="A1929" s="23"/>
    </row>
    <row r="1930" spans="1:1" x14ac:dyDescent="0.25">
      <c r="A1930" s="23"/>
    </row>
    <row r="1931" spans="1:1" x14ac:dyDescent="0.25">
      <c r="A1931" s="23"/>
    </row>
    <row r="1932" spans="1:1" x14ac:dyDescent="0.25">
      <c r="A1932" s="23"/>
    </row>
    <row r="1933" spans="1:1" x14ac:dyDescent="0.25">
      <c r="A1933" s="23"/>
    </row>
    <row r="1934" spans="1:1" x14ac:dyDescent="0.25">
      <c r="A1934" s="23"/>
    </row>
    <row r="1935" spans="1:1" x14ac:dyDescent="0.25">
      <c r="A1935" s="23"/>
    </row>
    <row r="1936" spans="1:1" x14ac:dyDescent="0.25">
      <c r="A1936" s="23"/>
    </row>
    <row r="1937" spans="1:1" x14ac:dyDescent="0.25">
      <c r="A1937" s="23"/>
    </row>
    <row r="1938" spans="1:1" x14ac:dyDescent="0.25">
      <c r="A1938" s="23"/>
    </row>
    <row r="1939" spans="1:1" x14ac:dyDescent="0.25">
      <c r="A1939" s="23"/>
    </row>
    <row r="1940" spans="1:1" x14ac:dyDescent="0.25">
      <c r="A1940" s="23"/>
    </row>
    <row r="1941" spans="1:1" x14ac:dyDescent="0.25">
      <c r="A1941" s="23"/>
    </row>
    <row r="1942" spans="1:1" x14ac:dyDescent="0.25">
      <c r="A1942" s="23"/>
    </row>
    <row r="1943" spans="1:1" x14ac:dyDescent="0.25">
      <c r="A1943" s="23"/>
    </row>
    <row r="1944" spans="1:1" x14ac:dyDescent="0.25">
      <c r="A1944" s="23"/>
    </row>
    <row r="1945" spans="1:1" x14ac:dyDescent="0.25">
      <c r="A1945" s="23"/>
    </row>
    <row r="1946" spans="1:1" x14ac:dyDescent="0.25">
      <c r="A1946" s="23"/>
    </row>
    <row r="1947" spans="1:1" x14ac:dyDescent="0.25">
      <c r="A1947" s="23"/>
    </row>
    <row r="1948" spans="1:1" x14ac:dyDescent="0.25">
      <c r="A1948" s="23"/>
    </row>
    <row r="1949" spans="1:1" x14ac:dyDescent="0.25">
      <c r="A1949" s="23"/>
    </row>
    <row r="1950" spans="1:1" x14ac:dyDescent="0.25">
      <c r="A1950" s="23"/>
    </row>
    <row r="1951" spans="1:1" x14ac:dyDescent="0.25">
      <c r="A1951" s="23"/>
    </row>
    <row r="1952" spans="1:1" x14ac:dyDescent="0.25">
      <c r="A1952" s="23"/>
    </row>
    <row r="1953" spans="1:1" x14ac:dyDescent="0.25">
      <c r="A1953" s="23"/>
    </row>
    <row r="1954" spans="1:1" x14ac:dyDescent="0.25">
      <c r="A1954" s="23"/>
    </row>
    <row r="1955" spans="1:1" x14ac:dyDescent="0.25">
      <c r="A1955" s="23"/>
    </row>
    <row r="1956" spans="1:1" x14ac:dyDescent="0.25">
      <c r="A1956" s="23"/>
    </row>
    <row r="1957" spans="1:1" x14ac:dyDescent="0.25">
      <c r="A1957" s="23"/>
    </row>
    <row r="1958" spans="1:1" x14ac:dyDescent="0.25">
      <c r="A1958" s="23"/>
    </row>
    <row r="1959" spans="1:1" x14ac:dyDescent="0.25">
      <c r="A1959" s="23"/>
    </row>
    <row r="1960" spans="1:1" x14ac:dyDescent="0.25">
      <c r="A1960" s="23"/>
    </row>
    <row r="1961" spans="1:1" x14ac:dyDescent="0.25">
      <c r="A1961" s="23"/>
    </row>
    <row r="1962" spans="1:1" x14ac:dyDescent="0.25">
      <c r="A1962" s="23"/>
    </row>
    <row r="1963" spans="1:1" x14ac:dyDescent="0.25">
      <c r="A1963" s="23"/>
    </row>
    <row r="1964" spans="1:1" x14ac:dyDescent="0.25">
      <c r="A1964" s="23"/>
    </row>
    <row r="1965" spans="1:1" x14ac:dyDescent="0.25">
      <c r="A1965" s="23"/>
    </row>
    <row r="1966" spans="1:1" x14ac:dyDescent="0.25">
      <c r="A1966" s="23"/>
    </row>
    <row r="1967" spans="1:1" x14ac:dyDescent="0.25">
      <c r="A1967" s="23"/>
    </row>
    <row r="1968" spans="1:1" x14ac:dyDescent="0.25">
      <c r="A1968" s="23"/>
    </row>
    <row r="1969" spans="1:1" x14ac:dyDescent="0.25">
      <c r="A1969" s="23"/>
    </row>
    <row r="1970" spans="1:1" x14ac:dyDescent="0.25">
      <c r="A1970" s="23"/>
    </row>
    <row r="1971" spans="1:1" x14ac:dyDescent="0.25">
      <c r="A1971" s="23"/>
    </row>
    <row r="1972" spans="1:1" x14ac:dyDescent="0.25">
      <c r="A1972" s="23"/>
    </row>
    <row r="1973" spans="1:1" x14ac:dyDescent="0.25">
      <c r="A1973" s="23"/>
    </row>
    <row r="1974" spans="1:1" x14ac:dyDescent="0.25">
      <c r="A1974" s="23"/>
    </row>
    <row r="1975" spans="1:1" x14ac:dyDescent="0.25">
      <c r="A1975" s="23"/>
    </row>
    <row r="1976" spans="1:1" x14ac:dyDescent="0.25">
      <c r="A1976" s="23"/>
    </row>
    <row r="1977" spans="1:1" x14ac:dyDescent="0.25">
      <c r="A1977" s="23"/>
    </row>
    <row r="1978" spans="1:1" x14ac:dyDescent="0.25">
      <c r="A1978" s="23"/>
    </row>
    <row r="1979" spans="1:1" x14ac:dyDescent="0.25">
      <c r="A1979" s="23"/>
    </row>
    <row r="1980" spans="1:1" x14ac:dyDescent="0.25">
      <c r="A1980" s="23"/>
    </row>
    <row r="1981" spans="1:1" x14ac:dyDescent="0.25">
      <c r="A1981" s="23"/>
    </row>
    <row r="1982" spans="1:1" x14ac:dyDescent="0.25">
      <c r="A1982" s="23"/>
    </row>
    <row r="1983" spans="1:1" x14ac:dyDescent="0.25">
      <c r="A1983" s="23"/>
    </row>
    <row r="1984" spans="1:1" x14ac:dyDescent="0.25">
      <c r="A1984" s="23"/>
    </row>
    <row r="1985" spans="1:1" x14ac:dyDescent="0.25">
      <c r="A1985" s="23"/>
    </row>
    <row r="1986" spans="1:1" x14ac:dyDescent="0.25">
      <c r="A1986" s="23"/>
    </row>
    <row r="1987" spans="1:1" x14ac:dyDescent="0.25">
      <c r="A1987" s="23"/>
    </row>
    <row r="1988" spans="1:1" x14ac:dyDescent="0.25">
      <c r="A1988" s="23"/>
    </row>
    <row r="1989" spans="1:1" x14ac:dyDescent="0.25">
      <c r="A1989" s="23"/>
    </row>
    <row r="1990" spans="1:1" x14ac:dyDescent="0.25">
      <c r="A1990" s="23"/>
    </row>
    <row r="1991" spans="1:1" x14ac:dyDescent="0.25">
      <c r="A1991" s="23"/>
    </row>
    <row r="1992" spans="1:1" x14ac:dyDescent="0.25">
      <c r="A1992" s="23"/>
    </row>
    <row r="1993" spans="1:1" x14ac:dyDescent="0.25">
      <c r="A1993" s="23"/>
    </row>
    <row r="1994" spans="1:1" x14ac:dyDescent="0.25">
      <c r="A1994" s="23"/>
    </row>
    <row r="1995" spans="1:1" x14ac:dyDescent="0.25">
      <c r="A1995" s="23"/>
    </row>
    <row r="1996" spans="1:1" x14ac:dyDescent="0.25">
      <c r="A1996" s="23"/>
    </row>
    <row r="1997" spans="1:1" x14ac:dyDescent="0.25">
      <c r="A1997" s="23"/>
    </row>
    <row r="1998" spans="1:1" x14ac:dyDescent="0.25">
      <c r="A1998" s="23"/>
    </row>
    <row r="1999" spans="1:1" x14ac:dyDescent="0.25">
      <c r="A1999" s="23"/>
    </row>
    <row r="2000" spans="1:1" x14ac:dyDescent="0.25">
      <c r="A2000" s="23"/>
    </row>
    <row r="2001" spans="1:1" x14ac:dyDescent="0.25">
      <c r="A2001" s="23"/>
    </row>
    <row r="2002" spans="1:1" x14ac:dyDescent="0.25">
      <c r="A2002" s="23"/>
    </row>
    <row r="2003" spans="1:1" x14ac:dyDescent="0.25">
      <c r="A2003" s="23"/>
    </row>
    <row r="2004" spans="1:1" x14ac:dyDescent="0.25">
      <c r="A2004" s="23"/>
    </row>
    <row r="2005" spans="1:1" x14ac:dyDescent="0.25">
      <c r="A2005" s="23"/>
    </row>
    <row r="2006" spans="1:1" x14ac:dyDescent="0.25">
      <c r="A2006" s="23"/>
    </row>
    <row r="2007" spans="1:1" x14ac:dyDescent="0.25">
      <c r="A2007" s="23"/>
    </row>
    <row r="2008" spans="1:1" x14ac:dyDescent="0.25">
      <c r="A2008" s="23"/>
    </row>
    <row r="2009" spans="1:1" x14ac:dyDescent="0.25">
      <c r="A2009" s="23"/>
    </row>
    <row r="2010" spans="1:1" x14ac:dyDescent="0.25">
      <c r="A2010" s="23"/>
    </row>
    <row r="2011" spans="1:1" x14ac:dyDescent="0.25">
      <c r="A2011" s="23"/>
    </row>
    <row r="2012" spans="1:1" x14ac:dyDescent="0.25">
      <c r="A2012" s="23"/>
    </row>
    <row r="2013" spans="1:1" x14ac:dyDescent="0.25">
      <c r="A2013" s="23"/>
    </row>
    <row r="2014" spans="1:1" x14ac:dyDescent="0.25">
      <c r="A2014" s="23"/>
    </row>
    <row r="2015" spans="1:1" x14ac:dyDescent="0.25">
      <c r="A2015" s="23"/>
    </row>
    <row r="2016" spans="1:1" x14ac:dyDescent="0.25">
      <c r="A2016" s="23"/>
    </row>
    <row r="2017" spans="1:1" x14ac:dyDescent="0.25">
      <c r="A2017" s="23"/>
    </row>
    <row r="2018" spans="1:1" x14ac:dyDescent="0.25">
      <c r="A2018" s="23"/>
    </row>
    <row r="2019" spans="1:1" x14ac:dyDescent="0.25">
      <c r="A2019" s="23"/>
    </row>
    <row r="2020" spans="1:1" x14ac:dyDescent="0.25">
      <c r="A2020" s="23"/>
    </row>
    <row r="2021" spans="1:1" x14ac:dyDescent="0.25">
      <c r="A2021" s="23"/>
    </row>
    <row r="2022" spans="1:1" x14ac:dyDescent="0.25">
      <c r="A2022" s="23"/>
    </row>
    <row r="2023" spans="1:1" x14ac:dyDescent="0.25">
      <c r="A2023" s="23"/>
    </row>
    <row r="2024" spans="1:1" x14ac:dyDescent="0.25">
      <c r="A2024" s="23"/>
    </row>
    <row r="2025" spans="1:1" x14ac:dyDescent="0.25">
      <c r="A2025" s="23"/>
    </row>
    <row r="2026" spans="1:1" x14ac:dyDescent="0.25">
      <c r="A2026" s="23"/>
    </row>
    <row r="2027" spans="1:1" x14ac:dyDescent="0.25">
      <c r="A2027" s="23"/>
    </row>
    <row r="2028" spans="1:1" x14ac:dyDescent="0.25">
      <c r="A2028" s="23"/>
    </row>
    <row r="2029" spans="1:1" x14ac:dyDescent="0.25">
      <c r="A2029" s="23"/>
    </row>
    <row r="2030" spans="1:1" x14ac:dyDescent="0.25">
      <c r="A2030" s="23"/>
    </row>
    <row r="2031" spans="1:1" x14ac:dyDescent="0.25">
      <c r="A2031" s="23"/>
    </row>
    <row r="2032" spans="1:1" x14ac:dyDescent="0.25">
      <c r="A2032" s="23"/>
    </row>
    <row r="2033" spans="1:1" x14ac:dyDescent="0.25">
      <c r="A2033" s="23"/>
    </row>
    <row r="2034" spans="1:1" x14ac:dyDescent="0.25">
      <c r="A2034" s="23"/>
    </row>
    <row r="2035" spans="1:1" x14ac:dyDescent="0.25">
      <c r="A2035" s="23"/>
    </row>
    <row r="2036" spans="1:1" x14ac:dyDescent="0.25">
      <c r="A2036" s="23"/>
    </row>
    <row r="2037" spans="1:1" x14ac:dyDescent="0.25">
      <c r="A2037" s="23"/>
    </row>
    <row r="2038" spans="1:1" x14ac:dyDescent="0.25">
      <c r="A2038" s="23"/>
    </row>
    <row r="2039" spans="1:1" x14ac:dyDescent="0.25">
      <c r="A2039" s="23"/>
    </row>
    <row r="2040" spans="1:1" x14ac:dyDescent="0.25">
      <c r="A2040" s="23"/>
    </row>
    <row r="2041" spans="1:1" x14ac:dyDescent="0.25">
      <c r="A2041" s="23"/>
    </row>
    <row r="2042" spans="1:1" x14ac:dyDescent="0.25">
      <c r="A2042" s="23"/>
    </row>
    <row r="2043" spans="1:1" x14ac:dyDescent="0.25">
      <c r="A2043" s="23"/>
    </row>
    <row r="2044" spans="1:1" x14ac:dyDescent="0.25">
      <c r="A2044" s="23"/>
    </row>
    <row r="2045" spans="1:1" x14ac:dyDescent="0.25">
      <c r="A2045" s="23"/>
    </row>
    <row r="2046" spans="1:1" x14ac:dyDescent="0.25">
      <c r="A2046" s="23"/>
    </row>
    <row r="2047" spans="1:1" x14ac:dyDescent="0.25">
      <c r="A2047" s="23"/>
    </row>
    <row r="2048" spans="1:1" x14ac:dyDescent="0.25">
      <c r="A2048" s="23"/>
    </row>
    <row r="2049" spans="1:1" x14ac:dyDescent="0.25">
      <c r="A2049" s="23"/>
    </row>
    <row r="2050" spans="1:1" x14ac:dyDescent="0.25">
      <c r="A2050" s="23"/>
    </row>
    <row r="2051" spans="1:1" x14ac:dyDescent="0.25">
      <c r="A2051" s="23"/>
    </row>
    <row r="2052" spans="1:1" x14ac:dyDescent="0.25">
      <c r="A2052" s="23"/>
    </row>
    <row r="2053" spans="1:1" x14ac:dyDescent="0.25">
      <c r="A2053" s="23"/>
    </row>
    <row r="2054" spans="1:1" x14ac:dyDescent="0.25">
      <c r="A2054" s="23"/>
    </row>
    <row r="2055" spans="1:1" x14ac:dyDescent="0.25">
      <c r="A2055" s="23"/>
    </row>
    <row r="2056" spans="1:1" x14ac:dyDescent="0.25">
      <c r="A2056" s="23"/>
    </row>
    <row r="2057" spans="1:1" x14ac:dyDescent="0.25">
      <c r="A2057" s="23"/>
    </row>
    <row r="2058" spans="1:1" x14ac:dyDescent="0.25">
      <c r="A2058" s="23"/>
    </row>
    <row r="2059" spans="1:1" x14ac:dyDescent="0.25">
      <c r="A2059" s="23"/>
    </row>
    <row r="2060" spans="1:1" x14ac:dyDescent="0.25">
      <c r="A2060" s="23"/>
    </row>
    <row r="2061" spans="1:1" x14ac:dyDescent="0.25">
      <c r="A2061" s="23"/>
    </row>
    <row r="2062" spans="1:1" x14ac:dyDescent="0.25">
      <c r="A2062" s="23"/>
    </row>
    <row r="2063" spans="1:1" x14ac:dyDescent="0.25">
      <c r="A2063" s="23"/>
    </row>
    <row r="2064" spans="1:1" x14ac:dyDescent="0.25">
      <c r="A2064" s="23"/>
    </row>
    <row r="2065" spans="1:1" x14ac:dyDescent="0.25">
      <c r="A2065" s="23"/>
    </row>
    <row r="2066" spans="1:1" x14ac:dyDescent="0.25">
      <c r="A2066" s="23"/>
    </row>
    <row r="2067" spans="1:1" x14ac:dyDescent="0.25">
      <c r="A2067" s="23"/>
    </row>
    <row r="2068" spans="1:1" x14ac:dyDescent="0.25">
      <c r="A2068" s="23"/>
    </row>
    <row r="2069" spans="1:1" x14ac:dyDescent="0.25">
      <c r="A2069" s="23"/>
    </row>
    <row r="2070" spans="1:1" x14ac:dyDescent="0.25">
      <c r="A2070" s="23"/>
    </row>
    <row r="2071" spans="1:1" x14ac:dyDescent="0.25">
      <c r="A2071" s="23"/>
    </row>
    <row r="2072" spans="1:1" x14ac:dyDescent="0.25">
      <c r="A2072" s="23"/>
    </row>
    <row r="2073" spans="1:1" x14ac:dyDescent="0.25">
      <c r="A2073" s="23"/>
    </row>
    <row r="2074" spans="1:1" x14ac:dyDescent="0.25">
      <c r="A2074" s="23"/>
    </row>
    <row r="2075" spans="1:1" x14ac:dyDescent="0.25">
      <c r="A2075" s="23"/>
    </row>
    <row r="2076" spans="1:1" x14ac:dyDescent="0.25">
      <c r="A2076" s="23"/>
    </row>
    <row r="2077" spans="1:1" x14ac:dyDescent="0.25">
      <c r="A2077" s="23"/>
    </row>
    <row r="2078" spans="1:1" x14ac:dyDescent="0.25">
      <c r="A2078" s="23"/>
    </row>
    <row r="2079" spans="1:1" x14ac:dyDescent="0.25">
      <c r="A2079" s="23"/>
    </row>
    <row r="2080" spans="1:1" x14ac:dyDescent="0.25">
      <c r="A2080" s="23"/>
    </row>
    <row r="2081" spans="1:1" x14ac:dyDescent="0.25">
      <c r="A2081" s="23"/>
    </row>
    <row r="2082" spans="1:1" x14ac:dyDescent="0.25">
      <c r="A2082" s="23"/>
    </row>
    <row r="2083" spans="1:1" x14ac:dyDescent="0.25">
      <c r="A2083" s="23"/>
    </row>
    <row r="2084" spans="1:1" x14ac:dyDescent="0.25">
      <c r="A2084" s="23"/>
    </row>
    <row r="2085" spans="1:1" x14ac:dyDescent="0.25">
      <c r="A2085" s="23"/>
    </row>
    <row r="2086" spans="1:1" x14ac:dyDescent="0.25">
      <c r="A2086" s="23"/>
    </row>
    <row r="2087" spans="1:1" x14ac:dyDescent="0.25">
      <c r="A2087" s="23"/>
    </row>
    <row r="2088" spans="1:1" x14ac:dyDescent="0.25">
      <c r="A2088" s="23"/>
    </row>
    <row r="2089" spans="1:1" x14ac:dyDescent="0.25">
      <c r="A2089" s="23"/>
    </row>
    <row r="2090" spans="1:1" x14ac:dyDescent="0.25">
      <c r="A2090" s="23"/>
    </row>
    <row r="2091" spans="1:1" x14ac:dyDescent="0.25">
      <c r="A2091" s="23"/>
    </row>
    <row r="2092" spans="1:1" x14ac:dyDescent="0.25">
      <c r="A2092" s="23"/>
    </row>
    <row r="2093" spans="1:1" x14ac:dyDescent="0.25">
      <c r="A2093" s="23"/>
    </row>
    <row r="2094" spans="1:1" x14ac:dyDescent="0.25">
      <c r="A2094" s="23"/>
    </row>
    <row r="2095" spans="1:1" x14ac:dyDescent="0.25">
      <c r="A2095" s="23"/>
    </row>
    <row r="2096" spans="1:1" x14ac:dyDescent="0.25">
      <c r="A2096" s="23"/>
    </row>
    <row r="2097" spans="1:1" x14ac:dyDescent="0.25">
      <c r="A2097" s="23"/>
    </row>
    <row r="2098" spans="1:1" x14ac:dyDescent="0.25">
      <c r="A2098" s="23"/>
    </row>
    <row r="2099" spans="1:1" x14ac:dyDescent="0.25">
      <c r="A2099" s="23"/>
    </row>
    <row r="2100" spans="1:1" x14ac:dyDescent="0.25">
      <c r="A2100" s="23"/>
    </row>
    <row r="2101" spans="1:1" x14ac:dyDescent="0.25">
      <c r="A2101" s="23"/>
    </row>
    <row r="2102" spans="1:1" x14ac:dyDescent="0.25">
      <c r="A2102" s="23"/>
    </row>
    <row r="2103" spans="1:1" x14ac:dyDescent="0.25">
      <c r="A2103" s="23"/>
    </row>
    <row r="2104" spans="1:1" x14ac:dyDescent="0.25">
      <c r="A2104" s="23"/>
    </row>
    <row r="2105" spans="1:1" x14ac:dyDescent="0.25">
      <c r="A2105" s="23"/>
    </row>
    <row r="2106" spans="1:1" x14ac:dyDescent="0.25">
      <c r="A2106" s="23"/>
    </row>
    <row r="2107" spans="1:1" x14ac:dyDescent="0.25">
      <c r="A2107" s="23"/>
    </row>
    <row r="2108" spans="1:1" x14ac:dyDescent="0.25">
      <c r="A2108" s="23"/>
    </row>
    <row r="2109" spans="1:1" x14ac:dyDescent="0.25">
      <c r="A2109" s="23"/>
    </row>
    <row r="2110" spans="1:1" x14ac:dyDescent="0.25">
      <c r="A2110" s="23"/>
    </row>
    <row r="2111" spans="1:1" x14ac:dyDescent="0.25">
      <c r="A2111" s="23"/>
    </row>
    <row r="2112" spans="1:1" x14ac:dyDescent="0.25">
      <c r="A2112" s="23"/>
    </row>
    <row r="2113" spans="1:1" x14ac:dyDescent="0.25">
      <c r="A2113" s="23"/>
    </row>
    <row r="2114" spans="1:1" x14ac:dyDescent="0.25">
      <c r="A2114" s="23"/>
    </row>
    <row r="2115" spans="1:1" x14ac:dyDescent="0.25">
      <c r="A2115" s="23"/>
    </row>
    <row r="2116" spans="1:1" x14ac:dyDescent="0.25">
      <c r="A2116" s="23"/>
    </row>
    <row r="2117" spans="1:1" x14ac:dyDescent="0.25">
      <c r="A2117" s="23"/>
    </row>
    <row r="2118" spans="1:1" x14ac:dyDescent="0.25">
      <c r="A2118" s="23"/>
    </row>
    <row r="2119" spans="1:1" x14ac:dyDescent="0.25">
      <c r="A2119" s="23"/>
    </row>
    <row r="2120" spans="1:1" x14ac:dyDescent="0.25">
      <c r="A2120" s="23"/>
    </row>
    <row r="2121" spans="1:1" x14ac:dyDescent="0.25">
      <c r="A2121" s="23"/>
    </row>
    <row r="2122" spans="1:1" x14ac:dyDescent="0.25">
      <c r="A2122" s="23"/>
    </row>
    <row r="2123" spans="1:1" x14ac:dyDescent="0.25">
      <c r="A2123" s="23"/>
    </row>
    <row r="2124" spans="1:1" x14ac:dyDescent="0.25">
      <c r="A2124" s="23"/>
    </row>
    <row r="2125" spans="1:1" x14ac:dyDescent="0.25">
      <c r="A2125" s="23"/>
    </row>
    <row r="2126" spans="1:1" x14ac:dyDescent="0.25">
      <c r="A2126" s="23"/>
    </row>
    <row r="2127" spans="1:1" x14ac:dyDescent="0.25">
      <c r="A2127" s="23"/>
    </row>
    <row r="2128" spans="1:1" x14ac:dyDescent="0.25">
      <c r="A2128" s="23"/>
    </row>
    <row r="2129" spans="1:1" x14ac:dyDescent="0.25">
      <c r="A2129" s="23"/>
    </row>
    <row r="2130" spans="1:1" x14ac:dyDescent="0.25">
      <c r="A2130" s="23"/>
    </row>
    <row r="2131" spans="1:1" x14ac:dyDescent="0.25">
      <c r="A2131" s="23"/>
    </row>
    <row r="2132" spans="1:1" x14ac:dyDescent="0.25">
      <c r="A2132" s="23"/>
    </row>
    <row r="2133" spans="1:1" x14ac:dyDescent="0.25">
      <c r="A2133" s="23"/>
    </row>
    <row r="2134" spans="1:1" x14ac:dyDescent="0.25">
      <c r="A2134" s="23"/>
    </row>
    <row r="2135" spans="1:1" x14ac:dyDescent="0.25">
      <c r="A2135" s="23"/>
    </row>
    <row r="2136" spans="1:1" x14ac:dyDescent="0.25">
      <c r="A2136" s="23"/>
    </row>
    <row r="2137" spans="1:1" x14ac:dyDescent="0.25">
      <c r="A2137" s="23"/>
    </row>
    <row r="2138" spans="1:1" x14ac:dyDescent="0.25">
      <c r="A2138" s="23"/>
    </row>
    <row r="2139" spans="1:1" x14ac:dyDescent="0.25">
      <c r="A2139" s="23"/>
    </row>
    <row r="2140" spans="1:1" x14ac:dyDescent="0.25">
      <c r="A2140" s="23"/>
    </row>
    <row r="2141" spans="1:1" x14ac:dyDescent="0.25">
      <c r="A2141" s="23"/>
    </row>
    <row r="2142" spans="1:1" x14ac:dyDescent="0.25">
      <c r="A2142" s="23"/>
    </row>
    <row r="2143" spans="1:1" x14ac:dyDescent="0.25">
      <c r="A2143" s="23"/>
    </row>
    <row r="2144" spans="1:1" x14ac:dyDescent="0.25">
      <c r="A2144" s="23"/>
    </row>
    <row r="2145" spans="1:1" x14ac:dyDescent="0.25">
      <c r="A2145" s="23"/>
    </row>
    <row r="2146" spans="1:1" x14ac:dyDescent="0.25">
      <c r="A2146" s="23"/>
    </row>
    <row r="2147" spans="1:1" x14ac:dyDescent="0.25">
      <c r="A2147" s="23"/>
    </row>
    <row r="2148" spans="1:1" x14ac:dyDescent="0.25">
      <c r="A2148" s="23"/>
    </row>
    <row r="2149" spans="1:1" x14ac:dyDescent="0.25">
      <c r="A2149" s="23"/>
    </row>
    <row r="2150" spans="1:1" x14ac:dyDescent="0.25">
      <c r="A2150" s="23"/>
    </row>
    <row r="2151" spans="1:1" x14ac:dyDescent="0.25">
      <c r="A2151" s="23"/>
    </row>
    <row r="2152" spans="1:1" x14ac:dyDescent="0.25">
      <c r="A2152" s="23"/>
    </row>
    <row r="2153" spans="1:1" x14ac:dyDescent="0.25">
      <c r="A2153" s="23"/>
    </row>
    <row r="2154" spans="1:1" x14ac:dyDescent="0.25">
      <c r="A2154" s="23"/>
    </row>
    <row r="2155" spans="1:1" x14ac:dyDescent="0.25">
      <c r="A2155" s="23"/>
    </row>
    <row r="2156" spans="1:1" x14ac:dyDescent="0.25">
      <c r="A2156" s="23"/>
    </row>
    <row r="2157" spans="1:1" x14ac:dyDescent="0.25">
      <c r="A2157" s="23"/>
    </row>
    <row r="2158" spans="1:1" x14ac:dyDescent="0.25">
      <c r="A2158" s="23"/>
    </row>
    <row r="2159" spans="1:1" x14ac:dyDescent="0.25">
      <c r="A2159" s="25"/>
    </row>
    <row r="2160" spans="1:1" x14ac:dyDescent="0.25">
      <c r="A2160" s="25"/>
    </row>
    <row r="2161" spans="1:1" x14ac:dyDescent="0.25">
      <c r="A2161" s="25"/>
    </row>
    <row r="2162" spans="1:1" x14ac:dyDescent="0.25">
      <c r="A2162" s="25"/>
    </row>
    <row r="2163" spans="1:1" x14ac:dyDescent="0.25">
      <c r="A2163" s="25"/>
    </row>
    <row r="2164" spans="1:1" x14ac:dyDescent="0.25">
      <c r="A2164" s="25"/>
    </row>
    <row r="2165" spans="1:1" x14ac:dyDescent="0.25">
      <c r="A2165" s="25"/>
    </row>
    <row r="2166" spans="1:1" x14ac:dyDescent="0.25">
      <c r="A2166" s="25"/>
    </row>
    <row r="2167" spans="1:1" x14ac:dyDescent="0.25">
      <c r="A2167" s="25"/>
    </row>
    <row r="2168" spans="1:1" x14ac:dyDescent="0.25">
      <c r="A2168" s="25"/>
    </row>
    <row r="2169" spans="1:1" x14ac:dyDescent="0.25">
      <c r="A2169" s="25"/>
    </row>
    <row r="2170" spans="1:1" x14ac:dyDescent="0.25">
      <c r="A2170" s="25"/>
    </row>
    <row r="2171" spans="1:1" x14ac:dyDescent="0.25">
      <c r="A2171" s="25"/>
    </row>
    <row r="2172" spans="1:1" x14ac:dyDescent="0.25">
      <c r="A2172" s="25"/>
    </row>
    <row r="2173" spans="1:1" x14ac:dyDescent="0.25">
      <c r="A2173" s="25"/>
    </row>
    <row r="2174" spans="1:1" x14ac:dyDescent="0.25">
      <c r="A2174" s="25"/>
    </row>
    <row r="2175" spans="1:1" x14ac:dyDescent="0.25">
      <c r="A2175" s="25"/>
    </row>
    <row r="2176" spans="1:1" x14ac:dyDescent="0.25">
      <c r="A2176" s="25"/>
    </row>
    <row r="2177" spans="1:1" x14ac:dyDescent="0.25">
      <c r="A2177" s="25"/>
    </row>
    <row r="2178" spans="1:1" x14ac:dyDescent="0.25">
      <c r="A2178" s="25"/>
    </row>
    <row r="2179" spans="1:1" x14ac:dyDescent="0.25">
      <c r="A2179" s="25"/>
    </row>
    <row r="2180" spans="1:1" x14ac:dyDescent="0.25">
      <c r="A2180" s="25"/>
    </row>
    <row r="2181" spans="1:1" x14ac:dyDescent="0.25">
      <c r="A2181" s="25"/>
    </row>
    <row r="2182" spans="1:1" x14ac:dyDescent="0.25">
      <c r="A2182" s="25"/>
    </row>
    <row r="2183" spans="1:1" x14ac:dyDescent="0.25">
      <c r="A2183" s="25"/>
    </row>
    <row r="2184" spans="1:1" x14ac:dyDescent="0.25">
      <c r="A2184" s="25"/>
    </row>
    <row r="2185" spans="1:1" x14ac:dyDescent="0.25">
      <c r="A2185" s="25"/>
    </row>
    <row r="2186" spans="1:1" x14ac:dyDescent="0.25">
      <c r="A2186" s="25"/>
    </row>
    <row r="2187" spans="1:1" x14ac:dyDescent="0.25">
      <c r="A2187" s="25"/>
    </row>
    <row r="2188" spans="1:1" x14ac:dyDescent="0.25">
      <c r="A2188" s="25"/>
    </row>
    <row r="2189" spans="1:1" x14ac:dyDescent="0.25">
      <c r="A2189" s="25"/>
    </row>
    <row r="2190" spans="1:1" x14ac:dyDescent="0.25">
      <c r="A2190" s="25"/>
    </row>
    <row r="2191" spans="1:1" x14ac:dyDescent="0.25">
      <c r="A2191" s="25"/>
    </row>
    <row r="2192" spans="1:1" x14ac:dyDescent="0.25">
      <c r="A2192" s="25"/>
    </row>
    <row r="2193" spans="1:1" x14ac:dyDescent="0.25">
      <c r="A2193" s="25"/>
    </row>
    <row r="2194" spans="1:1" x14ac:dyDescent="0.25">
      <c r="A2194" s="25"/>
    </row>
    <row r="2195" spans="1:1" x14ac:dyDescent="0.25">
      <c r="A2195" s="25"/>
    </row>
    <row r="2196" spans="1:1" x14ac:dyDescent="0.25">
      <c r="A2196" s="25"/>
    </row>
    <row r="2197" spans="1:1" x14ac:dyDescent="0.25">
      <c r="A2197" s="25"/>
    </row>
    <row r="2198" spans="1:1" x14ac:dyDescent="0.25">
      <c r="A2198" s="25"/>
    </row>
    <row r="2199" spans="1:1" x14ac:dyDescent="0.25">
      <c r="A2199" s="25"/>
    </row>
    <row r="2200" spans="1:1" x14ac:dyDescent="0.25">
      <c r="A2200" s="25"/>
    </row>
    <row r="2201" spans="1:1" x14ac:dyDescent="0.25">
      <c r="A2201" s="25"/>
    </row>
    <row r="2202" spans="1:1" x14ac:dyDescent="0.25">
      <c r="A2202" s="25"/>
    </row>
    <row r="2203" spans="1:1" x14ac:dyDescent="0.25">
      <c r="A2203" s="25"/>
    </row>
    <row r="2204" spans="1:1" x14ac:dyDescent="0.25">
      <c r="A2204" s="25"/>
    </row>
    <row r="2205" spans="1:1" x14ac:dyDescent="0.25">
      <c r="A2205" s="25"/>
    </row>
    <row r="2206" spans="1:1" x14ac:dyDescent="0.25">
      <c r="A2206" s="25"/>
    </row>
    <row r="2207" spans="1:1" x14ac:dyDescent="0.25">
      <c r="A2207" s="25"/>
    </row>
    <row r="2208" spans="1:1" x14ac:dyDescent="0.25">
      <c r="A2208" s="25"/>
    </row>
    <row r="2209" spans="1:1" x14ac:dyDescent="0.25">
      <c r="A2209" s="25"/>
    </row>
    <row r="2210" spans="1:1" x14ac:dyDescent="0.25">
      <c r="A2210" s="25"/>
    </row>
    <row r="2211" spans="1:1" x14ac:dyDescent="0.25">
      <c r="A2211" s="25"/>
    </row>
    <row r="2212" spans="1:1" x14ac:dyDescent="0.25">
      <c r="A2212" s="25"/>
    </row>
    <row r="2213" spans="1:1" x14ac:dyDescent="0.25">
      <c r="A2213" s="25"/>
    </row>
    <row r="2214" spans="1:1" x14ac:dyDescent="0.25">
      <c r="A2214" s="25"/>
    </row>
    <row r="2215" spans="1:1" x14ac:dyDescent="0.25">
      <c r="A2215" s="25"/>
    </row>
    <row r="2216" spans="1:1" x14ac:dyDescent="0.25">
      <c r="A2216" s="25"/>
    </row>
    <row r="2217" spans="1:1" x14ac:dyDescent="0.25">
      <c r="A2217" s="25"/>
    </row>
    <row r="2218" spans="1:1" x14ac:dyDescent="0.25">
      <c r="A2218" s="25"/>
    </row>
    <row r="2219" spans="1:1" x14ac:dyDescent="0.25">
      <c r="A2219" s="25"/>
    </row>
    <row r="2220" spans="1:1" x14ac:dyDescent="0.25">
      <c r="A2220" s="25"/>
    </row>
    <row r="2221" spans="1:1" x14ac:dyDescent="0.25">
      <c r="A2221" s="25"/>
    </row>
    <row r="2222" spans="1:1" x14ac:dyDescent="0.25">
      <c r="A2222" s="25"/>
    </row>
    <row r="2223" spans="1:1" x14ac:dyDescent="0.25">
      <c r="A2223" s="25"/>
    </row>
    <row r="2224" spans="1:1" x14ac:dyDescent="0.25">
      <c r="A2224" s="25"/>
    </row>
    <row r="2225" spans="1:1" x14ac:dyDescent="0.25">
      <c r="A2225" s="25"/>
    </row>
    <row r="2226" spans="1:1" x14ac:dyDescent="0.25">
      <c r="A2226" s="25"/>
    </row>
    <row r="2227" spans="1:1" x14ac:dyDescent="0.25">
      <c r="A2227" s="25"/>
    </row>
    <row r="2228" spans="1:1" x14ac:dyDescent="0.25">
      <c r="A2228" s="25"/>
    </row>
    <row r="2229" spans="1:1" x14ac:dyDescent="0.25">
      <c r="A2229" s="25"/>
    </row>
    <row r="2230" spans="1:1" x14ac:dyDescent="0.25">
      <c r="A2230" s="25"/>
    </row>
    <row r="2231" spans="1:1" x14ac:dyDescent="0.25">
      <c r="A2231" s="25"/>
    </row>
    <row r="2232" spans="1:1" x14ac:dyDescent="0.25">
      <c r="A2232" s="25"/>
    </row>
    <row r="2233" spans="1:1" x14ac:dyDescent="0.25">
      <c r="A2233" s="25"/>
    </row>
    <row r="2234" spans="1:1" x14ac:dyDescent="0.25">
      <c r="A2234" s="25"/>
    </row>
    <row r="2235" spans="1:1" x14ac:dyDescent="0.25">
      <c r="A2235" s="25"/>
    </row>
    <row r="2236" spans="1:1" x14ac:dyDescent="0.25">
      <c r="A2236" s="25"/>
    </row>
    <row r="2237" spans="1:1" x14ac:dyDescent="0.25">
      <c r="A2237" s="25"/>
    </row>
    <row r="2238" spans="1:1" x14ac:dyDescent="0.25">
      <c r="A2238" s="25"/>
    </row>
    <row r="2239" spans="1:1" x14ac:dyDescent="0.25">
      <c r="A2239" s="25"/>
    </row>
    <row r="2240" spans="1:1" x14ac:dyDescent="0.25">
      <c r="A2240" s="25"/>
    </row>
    <row r="2241" spans="1:1" x14ac:dyDescent="0.25">
      <c r="A2241" s="25"/>
    </row>
    <row r="2242" spans="1:1" x14ac:dyDescent="0.25">
      <c r="A2242" s="25"/>
    </row>
    <row r="2243" spans="1:1" x14ac:dyDescent="0.25">
      <c r="A2243" s="25"/>
    </row>
    <row r="2244" spans="1:1" x14ac:dyDescent="0.25">
      <c r="A2244" s="25"/>
    </row>
    <row r="2245" spans="1:1" x14ac:dyDescent="0.25">
      <c r="A2245" s="25"/>
    </row>
    <row r="2246" spans="1:1" x14ac:dyDescent="0.25">
      <c r="A2246" s="25"/>
    </row>
    <row r="2247" spans="1:1" x14ac:dyDescent="0.25">
      <c r="A2247" s="25"/>
    </row>
    <row r="2248" spans="1:1" x14ac:dyDescent="0.25">
      <c r="A2248" s="25"/>
    </row>
    <row r="2249" spans="1:1" x14ac:dyDescent="0.25">
      <c r="A2249" s="25"/>
    </row>
    <row r="2250" spans="1:1" x14ac:dyDescent="0.25">
      <c r="A2250" s="25"/>
    </row>
    <row r="2251" spans="1:1" x14ac:dyDescent="0.25">
      <c r="A2251" s="25"/>
    </row>
    <row r="2252" spans="1:1" x14ac:dyDescent="0.25">
      <c r="A2252" s="25"/>
    </row>
    <row r="2253" spans="1:1" x14ac:dyDescent="0.25">
      <c r="A2253" s="25"/>
    </row>
    <row r="2254" spans="1:1" x14ac:dyDescent="0.25">
      <c r="A2254" s="25"/>
    </row>
    <row r="2255" spans="1:1" x14ac:dyDescent="0.25">
      <c r="A2255" s="25"/>
    </row>
    <row r="2256" spans="1:1" x14ac:dyDescent="0.25">
      <c r="A2256" s="25"/>
    </row>
    <row r="2257" spans="1:1" x14ac:dyDescent="0.25">
      <c r="A2257" s="25"/>
    </row>
    <row r="2258" spans="1:1" x14ac:dyDescent="0.25">
      <c r="A2258" s="25"/>
    </row>
    <row r="2259" spans="1:1" x14ac:dyDescent="0.25">
      <c r="A2259" s="25"/>
    </row>
    <row r="2260" spans="1:1" x14ac:dyDescent="0.25">
      <c r="A2260" s="25"/>
    </row>
    <row r="2261" spans="1:1" x14ac:dyDescent="0.25">
      <c r="A2261" s="25"/>
    </row>
    <row r="2262" spans="1:1" x14ac:dyDescent="0.25">
      <c r="A2262" s="25"/>
    </row>
    <row r="2263" spans="1:1" x14ac:dyDescent="0.25">
      <c r="A2263" s="25"/>
    </row>
    <row r="2264" spans="1:1" x14ac:dyDescent="0.25">
      <c r="A2264" s="25"/>
    </row>
    <row r="2265" spans="1:1" x14ac:dyDescent="0.25">
      <c r="A2265" s="25"/>
    </row>
    <row r="2266" spans="1:1" x14ac:dyDescent="0.25">
      <c r="A2266" s="25"/>
    </row>
    <row r="2267" spans="1:1" x14ac:dyDescent="0.25">
      <c r="A2267" s="25"/>
    </row>
    <row r="2268" spans="1:1" x14ac:dyDescent="0.25">
      <c r="A2268" s="25"/>
    </row>
    <row r="2269" spans="1:1" x14ac:dyDescent="0.25">
      <c r="A2269" s="25"/>
    </row>
    <row r="2270" spans="1:1" x14ac:dyDescent="0.25">
      <c r="A2270" s="25"/>
    </row>
    <row r="2271" spans="1:1" x14ac:dyDescent="0.25">
      <c r="A2271" s="25"/>
    </row>
    <row r="2272" spans="1:1" x14ac:dyDescent="0.25">
      <c r="A2272" s="25"/>
    </row>
    <row r="2273" spans="1:1" x14ac:dyDescent="0.25">
      <c r="A2273" s="25"/>
    </row>
    <row r="2274" spans="1:1" x14ac:dyDescent="0.25">
      <c r="A2274" s="25"/>
    </row>
    <row r="2275" spans="1:1" x14ac:dyDescent="0.25">
      <c r="A2275" s="25"/>
    </row>
    <row r="2276" spans="1:1" x14ac:dyDescent="0.25">
      <c r="A2276" s="25"/>
    </row>
    <row r="2277" spans="1:1" x14ac:dyDescent="0.25">
      <c r="A2277" s="25"/>
    </row>
    <row r="2278" spans="1:1" x14ac:dyDescent="0.25">
      <c r="A2278" s="25"/>
    </row>
    <row r="2279" spans="1:1" x14ac:dyDescent="0.25">
      <c r="A2279" s="25"/>
    </row>
    <row r="2280" spans="1:1" x14ac:dyDescent="0.25">
      <c r="A2280" s="25"/>
    </row>
    <row r="2281" spans="1:1" x14ac:dyDescent="0.25">
      <c r="A2281" s="23"/>
    </row>
    <row r="2282" spans="1:1" x14ac:dyDescent="0.25">
      <c r="A2282" s="23"/>
    </row>
    <row r="2283" spans="1:1" x14ac:dyDescent="0.25">
      <c r="A2283" s="23"/>
    </row>
    <row r="2284" spans="1:1" x14ac:dyDescent="0.25">
      <c r="A2284" s="23"/>
    </row>
    <row r="2285" spans="1:1" x14ac:dyDescent="0.25">
      <c r="A2285" s="23"/>
    </row>
    <row r="2286" spans="1:1" x14ac:dyDescent="0.25">
      <c r="A2286" s="23"/>
    </row>
    <row r="2287" spans="1:1" x14ac:dyDescent="0.25">
      <c r="A2287" s="23"/>
    </row>
    <row r="2288" spans="1:1" x14ac:dyDescent="0.25">
      <c r="A2288" s="23"/>
    </row>
    <row r="2289" spans="1:1" x14ac:dyDescent="0.25">
      <c r="A2289" s="23"/>
    </row>
    <row r="2290" spans="1:1" x14ac:dyDescent="0.25">
      <c r="A2290" s="23"/>
    </row>
    <row r="2291" spans="1:1" x14ac:dyDescent="0.25">
      <c r="A2291" s="23"/>
    </row>
    <row r="2292" spans="1:1" x14ac:dyDescent="0.25">
      <c r="A2292" s="23"/>
    </row>
    <row r="2293" spans="1:1" x14ac:dyDescent="0.25">
      <c r="A2293" s="23"/>
    </row>
    <row r="2294" spans="1:1" x14ac:dyDescent="0.25">
      <c r="A2294" s="23"/>
    </row>
    <row r="2295" spans="1:1" x14ac:dyDescent="0.25">
      <c r="A2295" s="23"/>
    </row>
    <row r="2296" spans="1:1" x14ac:dyDescent="0.25">
      <c r="A2296" s="23"/>
    </row>
    <row r="2297" spans="1:1" x14ac:dyDescent="0.25">
      <c r="A2297" s="23"/>
    </row>
    <row r="2298" spans="1:1" x14ac:dyDescent="0.25">
      <c r="A2298" s="23"/>
    </row>
    <row r="2299" spans="1:1" x14ac:dyDescent="0.25">
      <c r="A2299" s="23"/>
    </row>
    <row r="2300" spans="1:1" x14ac:dyDescent="0.25">
      <c r="A2300" s="23"/>
    </row>
    <row r="2301" spans="1:1" x14ac:dyDescent="0.25">
      <c r="A2301" s="23"/>
    </row>
    <row r="2302" spans="1:1" x14ac:dyDescent="0.25">
      <c r="A2302" s="23"/>
    </row>
    <row r="2303" spans="1:1" x14ac:dyDescent="0.25">
      <c r="A2303" s="23"/>
    </row>
    <row r="2304" spans="1:1" x14ac:dyDescent="0.25">
      <c r="A2304" s="23"/>
    </row>
    <row r="2305" spans="1:1" x14ac:dyDescent="0.25">
      <c r="A2305" s="23"/>
    </row>
    <row r="2306" spans="1:1" x14ac:dyDescent="0.25">
      <c r="A2306" s="23"/>
    </row>
    <row r="2307" spans="1:1" x14ac:dyDescent="0.25">
      <c r="A2307" s="23"/>
    </row>
    <row r="2308" spans="1:1" x14ac:dyDescent="0.25">
      <c r="A2308" s="23"/>
    </row>
    <row r="2309" spans="1:1" x14ac:dyDescent="0.25">
      <c r="A2309" s="23"/>
    </row>
    <row r="2310" spans="1:1" x14ac:dyDescent="0.25">
      <c r="A2310" s="23"/>
    </row>
    <row r="2311" spans="1:1" x14ac:dyDescent="0.25">
      <c r="A2311" s="23"/>
    </row>
    <row r="2312" spans="1:1" x14ac:dyDescent="0.25">
      <c r="A2312" s="23"/>
    </row>
    <row r="2313" spans="1:1" x14ac:dyDescent="0.25">
      <c r="A2313" s="23"/>
    </row>
    <row r="2314" spans="1:1" x14ac:dyDescent="0.25">
      <c r="A2314" s="23"/>
    </row>
    <row r="2315" spans="1:1" x14ac:dyDescent="0.25">
      <c r="A2315" s="23"/>
    </row>
    <row r="2316" spans="1:1" x14ac:dyDescent="0.25">
      <c r="A2316" s="23"/>
    </row>
    <row r="2317" spans="1:1" x14ac:dyDescent="0.25">
      <c r="A2317" s="23"/>
    </row>
    <row r="2318" spans="1:1" x14ac:dyDescent="0.25">
      <c r="A2318" s="23"/>
    </row>
    <row r="2319" spans="1:1" x14ac:dyDescent="0.25">
      <c r="A2319" s="23"/>
    </row>
    <row r="2320" spans="1:1" x14ac:dyDescent="0.25">
      <c r="A2320" s="23"/>
    </row>
    <row r="2321" spans="1:1" x14ac:dyDescent="0.25">
      <c r="A2321" s="23"/>
    </row>
    <row r="2322" spans="1:1" x14ac:dyDescent="0.25">
      <c r="A2322" s="23"/>
    </row>
    <row r="2323" spans="1:1" x14ac:dyDescent="0.25">
      <c r="A2323" s="23"/>
    </row>
    <row r="2324" spans="1:1" x14ac:dyDescent="0.25">
      <c r="A2324" s="23"/>
    </row>
    <row r="2325" spans="1:1" x14ac:dyDescent="0.25">
      <c r="A2325" s="23"/>
    </row>
    <row r="2326" spans="1:1" x14ac:dyDescent="0.25">
      <c r="A2326" s="23"/>
    </row>
    <row r="2327" spans="1:1" x14ac:dyDescent="0.25">
      <c r="A2327" s="23"/>
    </row>
    <row r="2328" spans="1:1" x14ac:dyDescent="0.25">
      <c r="A2328" s="23"/>
    </row>
    <row r="2329" spans="1:1" x14ac:dyDescent="0.25">
      <c r="A2329" s="23"/>
    </row>
    <row r="2330" spans="1:1" x14ac:dyDescent="0.25">
      <c r="A2330" s="23"/>
    </row>
    <row r="2331" spans="1:1" x14ac:dyDescent="0.25">
      <c r="A2331" s="23"/>
    </row>
    <row r="2332" spans="1:1" x14ac:dyDescent="0.25">
      <c r="A2332" s="23"/>
    </row>
    <row r="2333" spans="1:1" x14ac:dyDescent="0.25">
      <c r="A2333" s="23"/>
    </row>
    <row r="2334" spans="1:1" x14ac:dyDescent="0.25">
      <c r="A2334" s="23"/>
    </row>
    <row r="2335" spans="1:1" x14ac:dyDescent="0.25">
      <c r="A2335" s="23"/>
    </row>
    <row r="2336" spans="1:1" x14ac:dyDescent="0.25">
      <c r="A2336" s="23"/>
    </row>
    <row r="2337" spans="1:1" x14ac:dyDescent="0.25">
      <c r="A2337" s="23"/>
    </row>
    <row r="2338" spans="1:1" x14ac:dyDescent="0.25">
      <c r="A2338" s="23"/>
    </row>
    <row r="2339" spans="1:1" x14ac:dyDescent="0.25">
      <c r="A2339" s="23"/>
    </row>
    <row r="2340" spans="1:1" x14ac:dyDescent="0.25">
      <c r="A2340" s="23"/>
    </row>
    <row r="2341" spans="1:1" x14ac:dyDescent="0.25">
      <c r="A2341" s="23"/>
    </row>
    <row r="2342" spans="1:1" x14ac:dyDescent="0.25">
      <c r="A2342" s="23"/>
    </row>
    <row r="2343" spans="1:1" x14ac:dyDescent="0.25">
      <c r="A2343" s="23"/>
    </row>
    <row r="2344" spans="1:1" x14ac:dyDescent="0.25">
      <c r="A2344" s="23"/>
    </row>
    <row r="2345" spans="1:1" x14ac:dyDescent="0.25">
      <c r="A2345" s="23"/>
    </row>
    <row r="2346" spans="1:1" x14ac:dyDescent="0.25">
      <c r="A2346" s="23"/>
    </row>
    <row r="2347" spans="1:1" x14ac:dyDescent="0.25">
      <c r="A2347" s="23"/>
    </row>
    <row r="2348" spans="1:1" x14ac:dyDescent="0.25">
      <c r="A2348" s="23"/>
    </row>
    <row r="2349" spans="1:1" x14ac:dyDescent="0.25">
      <c r="A2349" s="23"/>
    </row>
    <row r="2350" spans="1:1" x14ac:dyDescent="0.25">
      <c r="A2350" s="23"/>
    </row>
    <row r="2351" spans="1:1" x14ac:dyDescent="0.25">
      <c r="A2351" s="23"/>
    </row>
    <row r="2352" spans="1:1" x14ac:dyDescent="0.25">
      <c r="A2352" s="23"/>
    </row>
    <row r="2353" spans="1:1" x14ac:dyDescent="0.25">
      <c r="A2353" s="23"/>
    </row>
    <row r="2354" spans="1:1" x14ac:dyDescent="0.25">
      <c r="A2354" s="23"/>
    </row>
    <row r="2355" spans="1:1" x14ac:dyDescent="0.25">
      <c r="A2355" s="23"/>
    </row>
    <row r="2356" spans="1:1" x14ac:dyDescent="0.25">
      <c r="A2356" s="23"/>
    </row>
    <row r="2357" spans="1:1" x14ac:dyDescent="0.25">
      <c r="A2357" s="23"/>
    </row>
    <row r="2358" spans="1:1" x14ac:dyDescent="0.25">
      <c r="A2358" s="23"/>
    </row>
    <row r="2359" spans="1:1" x14ac:dyDescent="0.25">
      <c r="A2359" s="23"/>
    </row>
    <row r="2360" spans="1:1" x14ac:dyDescent="0.25">
      <c r="A2360" s="23"/>
    </row>
    <row r="2361" spans="1:1" x14ac:dyDescent="0.25">
      <c r="A2361" s="23"/>
    </row>
    <row r="2362" spans="1:1" x14ac:dyDescent="0.25">
      <c r="A2362" s="23"/>
    </row>
    <row r="2363" spans="1:1" x14ac:dyDescent="0.25">
      <c r="A2363" s="23"/>
    </row>
    <row r="2364" spans="1:1" x14ac:dyDescent="0.25">
      <c r="A2364" s="23"/>
    </row>
    <row r="2365" spans="1:1" x14ac:dyDescent="0.25">
      <c r="A2365" s="23"/>
    </row>
    <row r="2366" spans="1:1" x14ac:dyDescent="0.25">
      <c r="A2366" s="23"/>
    </row>
    <row r="2367" spans="1:1" x14ac:dyDescent="0.25">
      <c r="A2367" s="23"/>
    </row>
    <row r="2368" spans="1:1" x14ac:dyDescent="0.25">
      <c r="A2368" s="23"/>
    </row>
    <row r="2369" spans="1:1" x14ac:dyDescent="0.25">
      <c r="A2369" s="23"/>
    </row>
    <row r="2370" spans="1:1" x14ac:dyDescent="0.25">
      <c r="A2370" s="23"/>
    </row>
    <row r="2371" spans="1:1" x14ac:dyDescent="0.25">
      <c r="A2371" s="23"/>
    </row>
    <row r="2372" spans="1:1" x14ac:dyDescent="0.25">
      <c r="A2372" s="23"/>
    </row>
    <row r="2373" spans="1:1" x14ac:dyDescent="0.25">
      <c r="A2373" s="23"/>
    </row>
    <row r="2374" spans="1:1" x14ac:dyDescent="0.25">
      <c r="A2374" s="23"/>
    </row>
    <row r="2375" spans="1:1" x14ac:dyDescent="0.25">
      <c r="A2375" s="23"/>
    </row>
    <row r="2376" spans="1:1" x14ac:dyDescent="0.25">
      <c r="A2376" s="23"/>
    </row>
    <row r="2377" spans="1:1" x14ac:dyDescent="0.25">
      <c r="A2377" s="23"/>
    </row>
    <row r="2378" spans="1:1" x14ac:dyDescent="0.25">
      <c r="A2378" s="23"/>
    </row>
    <row r="2379" spans="1:1" x14ac:dyDescent="0.25">
      <c r="A2379" s="23"/>
    </row>
    <row r="2380" spans="1:1" x14ac:dyDescent="0.25">
      <c r="A2380" s="23"/>
    </row>
    <row r="2381" spans="1:1" x14ac:dyDescent="0.25">
      <c r="A2381" s="23"/>
    </row>
    <row r="2382" spans="1:1" x14ac:dyDescent="0.25">
      <c r="A2382" s="23"/>
    </row>
    <row r="2383" spans="1:1" x14ac:dyDescent="0.25">
      <c r="A2383" s="23"/>
    </row>
    <row r="2384" spans="1:1" x14ac:dyDescent="0.25">
      <c r="A2384" s="23"/>
    </row>
    <row r="2385" spans="1:1" x14ac:dyDescent="0.25">
      <c r="A2385" s="23"/>
    </row>
    <row r="2386" spans="1:1" x14ac:dyDescent="0.25">
      <c r="A2386" s="23"/>
    </row>
    <row r="2387" spans="1:1" x14ac:dyDescent="0.25">
      <c r="A2387" s="23"/>
    </row>
    <row r="2388" spans="1:1" x14ac:dyDescent="0.25">
      <c r="A2388" s="23"/>
    </row>
    <row r="2389" spans="1:1" x14ac:dyDescent="0.25">
      <c r="A2389" s="23"/>
    </row>
    <row r="2390" spans="1:1" x14ac:dyDescent="0.25">
      <c r="A2390" s="23"/>
    </row>
    <row r="2391" spans="1:1" x14ac:dyDescent="0.25">
      <c r="A2391" s="23"/>
    </row>
    <row r="2392" spans="1:1" x14ac:dyDescent="0.25">
      <c r="A2392" s="23"/>
    </row>
    <row r="2393" spans="1:1" x14ac:dyDescent="0.25">
      <c r="A2393" s="23"/>
    </row>
    <row r="2394" spans="1:1" x14ac:dyDescent="0.25">
      <c r="A2394" s="23"/>
    </row>
    <row r="2395" spans="1:1" x14ac:dyDescent="0.25">
      <c r="A2395" s="23"/>
    </row>
    <row r="2396" spans="1:1" x14ac:dyDescent="0.25">
      <c r="A2396" s="23"/>
    </row>
    <row r="2397" spans="1:1" x14ac:dyDescent="0.25">
      <c r="A2397" s="23"/>
    </row>
    <row r="2398" spans="1:1" x14ac:dyDescent="0.25">
      <c r="A2398" s="23"/>
    </row>
    <row r="2399" spans="1:1" x14ac:dyDescent="0.25">
      <c r="A2399" s="23"/>
    </row>
    <row r="2400" spans="1:1" x14ac:dyDescent="0.25">
      <c r="A2400" s="23"/>
    </row>
    <row r="2401" spans="1:1" x14ac:dyDescent="0.25">
      <c r="A2401" s="23"/>
    </row>
    <row r="2402" spans="1:1" x14ac:dyDescent="0.25">
      <c r="A2402" s="23"/>
    </row>
    <row r="2403" spans="1:1" x14ac:dyDescent="0.25">
      <c r="A2403" s="23"/>
    </row>
    <row r="2404" spans="1:1" x14ac:dyDescent="0.25">
      <c r="A2404" s="23"/>
    </row>
    <row r="2405" spans="1:1" x14ac:dyDescent="0.25">
      <c r="A2405" s="23"/>
    </row>
    <row r="2406" spans="1:1" x14ac:dyDescent="0.25">
      <c r="A2406" s="23"/>
    </row>
    <row r="2407" spans="1:1" x14ac:dyDescent="0.25">
      <c r="A2407" s="23"/>
    </row>
    <row r="2408" spans="1:1" x14ac:dyDescent="0.25">
      <c r="A2408" s="23"/>
    </row>
    <row r="2409" spans="1:1" x14ac:dyDescent="0.25">
      <c r="A2409" s="23"/>
    </row>
    <row r="2410" spans="1:1" x14ac:dyDescent="0.25">
      <c r="A2410" s="23"/>
    </row>
    <row r="2411" spans="1:1" x14ac:dyDescent="0.25">
      <c r="A2411" s="23"/>
    </row>
    <row r="2412" spans="1:1" x14ac:dyDescent="0.25">
      <c r="A2412" s="23"/>
    </row>
    <row r="2413" spans="1:1" x14ac:dyDescent="0.25">
      <c r="A2413" s="23"/>
    </row>
    <row r="2414" spans="1:1" x14ac:dyDescent="0.25">
      <c r="A2414" s="23"/>
    </row>
    <row r="2415" spans="1:1" x14ac:dyDescent="0.25">
      <c r="A2415" s="23"/>
    </row>
    <row r="2416" spans="1:1" x14ac:dyDescent="0.25">
      <c r="A2416" s="23"/>
    </row>
    <row r="2417" spans="1:1" x14ac:dyDescent="0.25">
      <c r="A2417" s="23"/>
    </row>
    <row r="2418" spans="1:1" x14ac:dyDescent="0.25">
      <c r="A2418" s="23"/>
    </row>
    <row r="2419" spans="1:1" x14ac:dyDescent="0.25">
      <c r="A2419" s="23"/>
    </row>
    <row r="2420" spans="1:1" x14ac:dyDescent="0.25">
      <c r="A2420" s="23"/>
    </row>
    <row r="2421" spans="1:1" x14ac:dyDescent="0.25">
      <c r="A2421" s="23"/>
    </row>
    <row r="2422" spans="1:1" x14ac:dyDescent="0.25">
      <c r="A2422" s="23"/>
    </row>
    <row r="2423" spans="1:1" x14ac:dyDescent="0.25">
      <c r="A2423" s="23"/>
    </row>
    <row r="2424" spans="1:1" x14ac:dyDescent="0.25">
      <c r="A2424" s="23"/>
    </row>
    <row r="2425" spans="1:1" x14ac:dyDescent="0.25">
      <c r="A2425" s="23"/>
    </row>
    <row r="2426" spans="1:1" x14ac:dyDescent="0.25">
      <c r="A2426" s="23"/>
    </row>
    <row r="2427" spans="1:1" x14ac:dyDescent="0.25">
      <c r="A2427" s="23"/>
    </row>
    <row r="2428" spans="1:1" x14ac:dyDescent="0.25">
      <c r="A2428" s="23"/>
    </row>
    <row r="2429" spans="1:1" x14ac:dyDescent="0.25">
      <c r="A2429" s="23"/>
    </row>
    <row r="2430" spans="1:1" x14ac:dyDescent="0.25">
      <c r="A2430" s="23"/>
    </row>
    <row r="2431" spans="1:1" x14ac:dyDescent="0.25">
      <c r="A2431" s="23"/>
    </row>
    <row r="2432" spans="1:1" x14ac:dyDescent="0.25">
      <c r="A2432" s="23"/>
    </row>
    <row r="2433" spans="1:1" x14ac:dyDescent="0.25">
      <c r="A2433" s="23"/>
    </row>
    <row r="2434" spans="1:1" x14ac:dyDescent="0.25">
      <c r="A2434" s="23"/>
    </row>
    <row r="2435" spans="1:1" x14ac:dyDescent="0.25">
      <c r="A2435" s="23"/>
    </row>
    <row r="2436" spans="1:1" x14ac:dyDescent="0.25">
      <c r="A2436" s="23"/>
    </row>
    <row r="2437" spans="1:1" x14ac:dyDescent="0.25">
      <c r="A2437" s="23"/>
    </row>
    <row r="2438" spans="1:1" x14ac:dyDescent="0.25">
      <c r="A2438" s="23"/>
    </row>
    <row r="2439" spans="1:1" x14ac:dyDescent="0.25">
      <c r="A2439" s="23"/>
    </row>
    <row r="2440" spans="1:1" x14ac:dyDescent="0.25">
      <c r="A2440" s="23"/>
    </row>
    <row r="2441" spans="1:1" x14ac:dyDescent="0.25">
      <c r="A2441" s="23"/>
    </row>
    <row r="2442" spans="1:1" x14ac:dyDescent="0.25">
      <c r="A2442" s="23"/>
    </row>
    <row r="2443" spans="1:1" x14ac:dyDescent="0.25">
      <c r="A2443" s="23"/>
    </row>
    <row r="2444" spans="1:1" x14ac:dyDescent="0.25">
      <c r="A2444" s="23"/>
    </row>
    <row r="2445" spans="1:1" x14ac:dyDescent="0.25">
      <c r="A2445" s="23"/>
    </row>
    <row r="2446" spans="1:1" x14ac:dyDescent="0.25">
      <c r="A2446" s="23"/>
    </row>
    <row r="2447" spans="1:1" x14ac:dyDescent="0.25">
      <c r="A2447" s="23"/>
    </row>
    <row r="2448" spans="1:1" x14ac:dyDescent="0.25">
      <c r="A2448" s="23"/>
    </row>
    <row r="2449" spans="1:1" x14ac:dyDescent="0.25">
      <c r="A2449" s="23"/>
    </row>
    <row r="2450" spans="1:1" x14ac:dyDescent="0.25">
      <c r="A2450" s="23"/>
    </row>
    <row r="2451" spans="1:1" x14ac:dyDescent="0.25">
      <c r="A2451" s="23"/>
    </row>
    <row r="2452" spans="1:1" x14ac:dyDescent="0.25">
      <c r="A2452" s="23"/>
    </row>
    <row r="2453" spans="1:1" x14ac:dyDescent="0.25">
      <c r="A2453" s="23"/>
    </row>
    <row r="2454" spans="1:1" x14ac:dyDescent="0.25">
      <c r="A2454" s="23"/>
    </row>
    <row r="2455" spans="1:1" x14ac:dyDescent="0.25">
      <c r="A2455" s="23"/>
    </row>
    <row r="2456" spans="1:1" x14ac:dyDescent="0.25">
      <c r="A2456" s="23"/>
    </row>
    <row r="2457" spans="1:1" x14ac:dyDescent="0.25">
      <c r="A2457" s="23"/>
    </row>
    <row r="2458" spans="1:1" x14ac:dyDescent="0.25">
      <c r="A2458" s="23"/>
    </row>
    <row r="2459" spans="1:1" x14ac:dyDescent="0.25">
      <c r="A2459" s="23"/>
    </row>
    <row r="2460" spans="1:1" x14ac:dyDescent="0.25">
      <c r="A2460" s="23"/>
    </row>
    <row r="2461" spans="1:1" x14ac:dyDescent="0.25">
      <c r="A2461" s="23"/>
    </row>
    <row r="2462" spans="1:1" x14ac:dyDescent="0.25">
      <c r="A2462" s="23"/>
    </row>
    <row r="2463" spans="1:1" x14ac:dyDescent="0.25">
      <c r="A2463" s="23"/>
    </row>
    <row r="2464" spans="1:1" x14ac:dyDescent="0.25">
      <c r="A2464" s="23"/>
    </row>
    <row r="2465" spans="1:1" x14ac:dyDescent="0.25">
      <c r="A2465" s="23"/>
    </row>
    <row r="2466" spans="1:1" x14ac:dyDescent="0.25">
      <c r="A2466" s="23"/>
    </row>
    <row r="2467" spans="1:1" x14ac:dyDescent="0.25">
      <c r="A2467" s="23"/>
    </row>
    <row r="2468" spans="1:1" x14ac:dyDescent="0.25">
      <c r="A2468" s="23"/>
    </row>
    <row r="2469" spans="1:1" x14ac:dyDescent="0.25">
      <c r="A2469" s="23"/>
    </row>
    <row r="2470" spans="1:1" x14ac:dyDescent="0.25">
      <c r="A2470" s="23"/>
    </row>
    <row r="2471" spans="1:1" x14ac:dyDescent="0.25">
      <c r="A2471" s="23"/>
    </row>
    <row r="2472" spans="1:1" x14ac:dyDescent="0.25">
      <c r="A2472" s="23"/>
    </row>
    <row r="2473" spans="1:1" x14ac:dyDescent="0.25">
      <c r="A2473" s="23"/>
    </row>
    <row r="2474" spans="1:1" x14ac:dyDescent="0.25">
      <c r="A2474" s="23"/>
    </row>
    <row r="2475" spans="1:1" x14ac:dyDescent="0.25">
      <c r="A2475" s="23"/>
    </row>
    <row r="2476" spans="1:1" x14ac:dyDescent="0.25">
      <c r="A2476" s="23"/>
    </row>
    <row r="2477" spans="1:1" x14ac:dyDescent="0.25">
      <c r="A2477" s="23"/>
    </row>
    <row r="2478" spans="1:1" x14ac:dyDescent="0.25">
      <c r="A2478" s="23"/>
    </row>
    <row r="2479" spans="1:1" x14ac:dyDescent="0.25">
      <c r="A2479" s="23"/>
    </row>
    <row r="2480" spans="1:1" x14ac:dyDescent="0.25">
      <c r="A2480" s="23"/>
    </row>
    <row r="2481" spans="1:1" x14ac:dyDescent="0.25">
      <c r="A2481" s="23"/>
    </row>
    <row r="2482" spans="1:1" x14ac:dyDescent="0.25">
      <c r="A2482" s="23"/>
    </row>
    <row r="2483" spans="1:1" x14ac:dyDescent="0.25">
      <c r="A2483" s="23"/>
    </row>
    <row r="2484" spans="1:1" x14ac:dyDescent="0.25">
      <c r="A2484" s="23"/>
    </row>
    <row r="2485" spans="1:1" x14ac:dyDescent="0.25">
      <c r="A2485" s="23"/>
    </row>
    <row r="2486" spans="1:1" x14ac:dyDescent="0.25">
      <c r="A2486" s="23"/>
    </row>
    <row r="2487" spans="1:1" x14ac:dyDescent="0.25">
      <c r="A2487" s="23"/>
    </row>
    <row r="2488" spans="1:1" x14ac:dyDescent="0.25">
      <c r="A2488" s="23"/>
    </row>
    <row r="2489" spans="1:1" x14ac:dyDescent="0.25">
      <c r="A2489" s="23"/>
    </row>
    <row r="2490" spans="1:1" x14ac:dyDescent="0.25">
      <c r="A2490" s="23"/>
    </row>
    <row r="2491" spans="1:1" x14ac:dyDescent="0.25">
      <c r="A2491" s="23"/>
    </row>
    <row r="2492" spans="1:1" x14ac:dyDescent="0.25">
      <c r="A2492" s="23"/>
    </row>
    <row r="2493" spans="1:1" x14ac:dyDescent="0.25">
      <c r="A2493" s="23"/>
    </row>
    <row r="2494" spans="1:1" x14ac:dyDescent="0.25">
      <c r="A2494" s="23"/>
    </row>
    <row r="2495" spans="1:1" x14ac:dyDescent="0.25">
      <c r="A2495" s="23"/>
    </row>
    <row r="2496" spans="1:1" x14ac:dyDescent="0.25">
      <c r="A2496" s="23"/>
    </row>
    <row r="2497" spans="1:1" x14ac:dyDescent="0.25">
      <c r="A2497" s="23"/>
    </row>
    <row r="2498" spans="1:1" x14ac:dyDescent="0.25">
      <c r="A2498" s="23"/>
    </row>
    <row r="2499" spans="1:1" x14ac:dyDescent="0.25">
      <c r="A2499" s="23"/>
    </row>
    <row r="2500" spans="1:1" x14ac:dyDescent="0.25">
      <c r="A2500" s="23"/>
    </row>
    <row r="2501" spans="1:1" x14ac:dyDescent="0.25">
      <c r="A2501" s="23"/>
    </row>
    <row r="2502" spans="1:1" x14ac:dyDescent="0.25">
      <c r="A2502" s="23"/>
    </row>
    <row r="2503" spans="1:1" x14ac:dyDescent="0.25">
      <c r="A2503" s="23"/>
    </row>
    <row r="2504" spans="1:1" x14ac:dyDescent="0.25">
      <c r="A2504" s="23"/>
    </row>
    <row r="2505" spans="1:1" x14ac:dyDescent="0.25">
      <c r="A2505" s="23"/>
    </row>
    <row r="2506" spans="1:1" x14ac:dyDescent="0.25">
      <c r="A2506" s="23"/>
    </row>
    <row r="2507" spans="1:1" x14ac:dyDescent="0.25">
      <c r="A2507" s="23"/>
    </row>
    <row r="2508" spans="1:1" x14ac:dyDescent="0.25">
      <c r="A2508" s="23"/>
    </row>
    <row r="2509" spans="1:1" x14ac:dyDescent="0.25">
      <c r="A2509" s="23"/>
    </row>
    <row r="2510" spans="1:1" x14ac:dyDescent="0.25">
      <c r="A2510" s="23"/>
    </row>
    <row r="2511" spans="1:1" x14ac:dyDescent="0.25">
      <c r="A2511" s="23"/>
    </row>
    <row r="2512" spans="1:1" x14ac:dyDescent="0.25">
      <c r="A2512" s="23"/>
    </row>
    <row r="2513" spans="1:1" x14ac:dyDescent="0.25">
      <c r="A2513" s="23"/>
    </row>
    <row r="2514" spans="1:1" x14ac:dyDescent="0.25">
      <c r="A2514" s="23"/>
    </row>
    <row r="2515" spans="1:1" x14ac:dyDescent="0.25">
      <c r="A2515" s="23"/>
    </row>
    <row r="2516" spans="1:1" x14ac:dyDescent="0.25">
      <c r="A2516" s="23"/>
    </row>
    <row r="2517" spans="1:1" x14ac:dyDescent="0.25">
      <c r="A2517" s="23"/>
    </row>
    <row r="2518" spans="1:1" x14ac:dyDescent="0.25">
      <c r="A2518" s="23"/>
    </row>
    <row r="2519" spans="1:1" x14ac:dyDescent="0.25">
      <c r="A2519" s="23"/>
    </row>
    <row r="2520" spans="1:1" x14ac:dyDescent="0.25">
      <c r="A2520" s="23"/>
    </row>
    <row r="2521" spans="1:1" x14ac:dyDescent="0.25">
      <c r="A2521" s="23"/>
    </row>
    <row r="2522" spans="1:1" x14ac:dyDescent="0.25">
      <c r="A2522" s="23"/>
    </row>
    <row r="2523" spans="1:1" x14ac:dyDescent="0.25">
      <c r="A2523" s="23"/>
    </row>
    <row r="2524" spans="1:1" x14ac:dyDescent="0.25">
      <c r="A2524" s="23"/>
    </row>
    <row r="2525" spans="1:1" x14ac:dyDescent="0.25">
      <c r="A2525" s="23"/>
    </row>
    <row r="2526" spans="1:1" x14ac:dyDescent="0.25">
      <c r="A2526" s="23"/>
    </row>
    <row r="2527" spans="1:1" x14ac:dyDescent="0.25">
      <c r="A2527" s="23"/>
    </row>
    <row r="2528" spans="1:1" x14ac:dyDescent="0.25">
      <c r="A2528" s="23"/>
    </row>
    <row r="2529" spans="1:1" x14ac:dyDescent="0.25">
      <c r="A2529" s="23"/>
    </row>
    <row r="2530" spans="1:1" x14ac:dyDescent="0.25">
      <c r="A2530" s="23"/>
    </row>
    <row r="2531" spans="1:1" x14ac:dyDescent="0.25">
      <c r="A2531" s="23"/>
    </row>
    <row r="2532" spans="1:1" x14ac:dyDescent="0.25">
      <c r="A2532" s="23"/>
    </row>
    <row r="2533" spans="1:1" x14ac:dyDescent="0.25">
      <c r="A2533" s="23"/>
    </row>
    <row r="2534" spans="1:1" x14ac:dyDescent="0.25">
      <c r="A2534" s="23"/>
    </row>
    <row r="2535" spans="1:1" x14ac:dyDescent="0.25">
      <c r="A2535" s="23"/>
    </row>
    <row r="2536" spans="1:1" x14ac:dyDescent="0.25">
      <c r="A2536" s="23"/>
    </row>
    <row r="2537" spans="1:1" x14ac:dyDescent="0.25">
      <c r="A2537" s="23"/>
    </row>
    <row r="2538" spans="1:1" x14ac:dyDescent="0.25">
      <c r="A2538" s="23"/>
    </row>
    <row r="2539" spans="1:1" x14ac:dyDescent="0.25">
      <c r="A2539" s="23"/>
    </row>
    <row r="2540" spans="1:1" x14ac:dyDescent="0.25">
      <c r="A2540" s="23"/>
    </row>
    <row r="2541" spans="1:1" x14ac:dyDescent="0.25">
      <c r="A2541" s="23"/>
    </row>
    <row r="2542" spans="1:1" x14ac:dyDescent="0.25">
      <c r="A2542" s="23"/>
    </row>
    <row r="2543" spans="1:1" x14ac:dyDescent="0.25">
      <c r="A2543" s="23"/>
    </row>
    <row r="2544" spans="1:1" x14ac:dyDescent="0.25">
      <c r="A2544" s="23"/>
    </row>
    <row r="2545" spans="1:1" x14ac:dyDescent="0.25">
      <c r="A2545" s="23"/>
    </row>
    <row r="2546" spans="1:1" x14ac:dyDescent="0.25">
      <c r="A2546" s="23"/>
    </row>
    <row r="2547" spans="1:1" x14ac:dyDescent="0.25">
      <c r="A2547" s="23"/>
    </row>
    <row r="2548" spans="1:1" x14ac:dyDescent="0.25">
      <c r="A2548" s="23"/>
    </row>
    <row r="2549" spans="1:1" x14ac:dyDescent="0.25">
      <c r="A2549" s="23"/>
    </row>
    <row r="2550" spans="1:1" x14ac:dyDescent="0.25">
      <c r="A2550" s="23"/>
    </row>
    <row r="2551" spans="1:1" x14ac:dyDescent="0.25">
      <c r="A2551" s="23"/>
    </row>
    <row r="2552" spans="1:1" x14ac:dyDescent="0.25">
      <c r="A2552" s="23"/>
    </row>
    <row r="2553" spans="1:1" x14ac:dyDescent="0.25">
      <c r="A2553" s="23"/>
    </row>
    <row r="2554" spans="1:1" x14ac:dyDescent="0.25">
      <c r="A2554" s="23"/>
    </row>
    <row r="2555" spans="1:1" x14ac:dyDescent="0.25">
      <c r="A2555" s="23"/>
    </row>
    <row r="2556" spans="1:1" x14ac:dyDescent="0.25">
      <c r="A2556" s="23"/>
    </row>
    <row r="2557" spans="1:1" x14ac:dyDescent="0.25">
      <c r="A2557" s="23"/>
    </row>
    <row r="2558" spans="1:1" x14ac:dyDescent="0.25">
      <c r="A2558" s="23"/>
    </row>
    <row r="2559" spans="1:1" x14ac:dyDescent="0.25">
      <c r="A2559" s="23"/>
    </row>
    <row r="2560" spans="1:1" x14ac:dyDescent="0.25">
      <c r="A2560" s="23"/>
    </row>
    <row r="2561" spans="1:1" x14ac:dyDescent="0.25">
      <c r="A2561" s="23"/>
    </row>
    <row r="2562" spans="1:1" x14ac:dyDescent="0.25">
      <c r="A2562" s="23"/>
    </row>
    <row r="2563" spans="1:1" x14ac:dyDescent="0.25">
      <c r="A2563" s="23"/>
    </row>
    <row r="2564" spans="1:1" x14ac:dyDescent="0.25">
      <c r="A2564" s="23"/>
    </row>
    <row r="2565" spans="1:1" x14ac:dyDescent="0.25">
      <c r="A2565" s="23"/>
    </row>
    <row r="2566" spans="1:1" x14ac:dyDescent="0.25">
      <c r="A2566" s="23"/>
    </row>
    <row r="2567" spans="1:1" x14ac:dyDescent="0.25">
      <c r="A2567" s="23"/>
    </row>
    <row r="2568" spans="1:1" x14ac:dyDescent="0.25">
      <c r="A2568" s="23"/>
    </row>
    <row r="2569" spans="1:1" x14ac:dyDescent="0.25">
      <c r="A2569" s="23"/>
    </row>
    <row r="2570" spans="1:1" x14ac:dyDescent="0.25">
      <c r="A2570" s="23"/>
    </row>
    <row r="2571" spans="1:1" x14ac:dyDescent="0.25">
      <c r="A2571" s="23"/>
    </row>
    <row r="2572" spans="1:1" x14ac:dyDescent="0.25">
      <c r="A2572" s="23"/>
    </row>
    <row r="2573" spans="1:1" x14ac:dyDescent="0.25">
      <c r="A2573" s="23"/>
    </row>
    <row r="2574" spans="1:1" x14ac:dyDescent="0.25">
      <c r="A2574" s="23"/>
    </row>
    <row r="2575" spans="1:1" x14ac:dyDescent="0.25">
      <c r="A2575" s="23"/>
    </row>
    <row r="2576" spans="1:1" x14ac:dyDescent="0.25">
      <c r="A2576" s="23"/>
    </row>
    <row r="2577" spans="1:1" x14ac:dyDescent="0.25">
      <c r="A2577" s="23"/>
    </row>
    <row r="2578" spans="1:1" x14ac:dyDescent="0.25">
      <c r="A2578" s="23"/>
    </row>
    <row r="2579" spans="1:1" x14ac:dyDescent="0.25">
      <c r="A2579" s="23"/>
    </row>
    <row r="2580" spans="1:1" x14ac:dyDescent="0.25">
      <c r="A2580" s="23"/>
    </row>
    <row r="2581" spans="1:1" x14ac:dyDescent="0.25">
      <c r="A2581" s="23"/>
    </row>
    <row r="2582" spans="1:1" x14ac:dyDescent="0.25">
      <c r="A2582" s="23"/>
    </row>
    <row r="2583" spans="1:1" x14ac:dyDescent="0.25">
      <c r="A2583" s="23"/>
    </row>
    <row r="2584" spans="1:1" x14ac:dyDescent="0.25">
      <c r="A2584" s="23"/>
    </row>
    <row r="2585" spans="1:1" x14ac:dyDescent="0.25">
      <c r="A2585" s="23"/>
    </row>
    <row r="2586" spans="1:1" x14ac:dyDescent="0.25">
      <c r="A2586" s="23"/>
    </row>
    <row r="2587" spans="1:1" x14ac:dyDescent="0.25">
      <c r="A2587" s="23"/>
    </row>
    <row r="2588" spans="1:1" x14ac:dyDescent="0.25">
      <c r="A2588" s="23"/>
    </row>
    <row r="2589" spans="1:1" x14ac:dyDescent="0.25">
      <c r="A2589" s="23"/>
    </row>
    <row r="2590" spans="1:1" x14ac:dyDescent="0.25">
      <c r="A2590" s="23"/>
    </row>
    <row r="2591" spans="1:1" x14ac:dyDescent="0.25">
      <c r="A2591" s="23"/>
    </row>
    <row r="2592" spans="1:1" x14ac:dyDescent="0.25">
      <c r="A2592" s="23"/>
    </row>
    <row r="2593" spans="1:1" x14ac:dyDescent="0.25">
      <c r="A2593" s="23"/>
    </row>
    <row r="2594" spans="1:1" x14ac:dyDescent="0.25">
      <c r="A2594" s="23"/>
    </row>
    <row r="2595" spans="1:1" x14ac:dyDescent="0.25">
      <c r="A2595" s="23"/>
    </row>
    <row r="2596" spans="1:1" x14ac:dyDescent="0.25">
      <c r="A2596" s="23"/>
    </row>
    <row r="2597" spans="1:1" x14ac:dyDescent="0.25">
      <c r="A2597" s="23"/>
    </row>
    <row r="2598" spans="1:1" x14ac:dyDescent="0.25">
      <c r="A2598" s="23"/>
    </row>
    <row r="2599" spans="1:1" x14ac:dyDescent="0.25">
      <c r="A2599" s="23"/>
    </row>
    <row r="2600" spans="1:1" x14ac:dyDescent="0.25">
      <c r="A2600" s="23"/>
    </row>
    <row r="2601" spans="1:1" x14ac:dyDescent="0.25">
      <c r="A2601" s="23"/>
    </row>
    <row r="2602" spans="1:1" x14ac:dyDescent="0.25">
      <c r="A2602" s="23"/>
    </row>
    <row r="2603" spans="1:1" x14ac:dyDescent="0.25">
      <c r="A2603" s="23"/>
    </row>
    <row r="2604" spans="1:1" x14ac:dyDescent="0.25">
      <c r="A2604" s="23"/>
    </row>
    <row r="2605" spans="1:1" x14ac:dyDescent="0.25">
      <c r="A2605" s="23"/>
    </row>
    <row r="2606" spans="1:1" x14ac:dyDescent="0.25">
      <c r="A2606" s="23"/>
    </row>
    <row r="2607" spans="1:1" x14ac:dyDescent="0.25">
      <c r="A2607" s="23"/>
    </row>
    <row r="2608" spans="1:1" x14ac:dyDescent="0.25">
      <c r="A2608" s="23"/>
    </row>
    <row r="2609" spans="1:1" x14ac:dyDescent="0.25">
      <c r="A2609" s="23"/>
    </row>
    <row r="2610" spans="1:1" x14ac:dyDescent="0.25">
      <c r="A2610" s="23"/>
    </row>
    <row r="2611" spans="1:1" x14ac:dyDescent="0.25">
      <c r="A2611" s="23"/>
    </row>
    <row r="2612" spans="1:1" x14ac:dyDescent="0.25">
      <c r="A2612" s="23"/>
    </row>
    <row r="2613" spans="1:1" x14ac:dyDescent="0.25">
      <c r="A2613" s="23"/>
    </row>
    <row r="2614" spans="1:1" x14ac:dyDescent="0.25">
      <c r="A2614" s="23"/>
    </row>
    <row r="2615" spans="1:1" x14ac:dyDescent="0.25">
      <c r="A2615" s="23"/>
    </row>
    <row r="2616" spans="1:1" x14ac:dyDescent="0.25">
      <c r="A2616" s="23"/>
    </row>
    <row r="2617" spans="1:1" x14ac:dyDescent="0.25">
      <c r="A2617" s="23"/>
    </row>
    <row r="2618" spans="1:1" x14ac:dyDescent="0.25">
      <c r="A2618" s="23"/>
    </row>
    <row r="2619" spans="1:1" x14ac:dyDescent="0.25">
      <c r="A2619" s="23"/>
    </row>
    <row r="2620" spans="1:1" x14ac:dyDescent="0.25">
      <c r="A2620" s="23"/>
    </row>
    <row r="2621" spans="1:1" x14ac:dyDescent="0.25">
      <c r="A2621" s="23"/>
    </row>
    <row r="2622" spans="1:1" x14ac:dyDescent="0.25">
      <c r="A2622" s="23"/>
    </row>
    <row r="2623" spans="1:1" x14ac:dyDescent="0.25">
      <c r="A2623" s="23"/>
    </row>
    <row r="2624" spans="1:1" x14ac:dyDescent="0.25">
      <c r="A2624" s="23"/>
    </row>
    <row r="2625" spans="1:1" x14ac:dyDescent="0.25">
      <c r="A2625" s="23"/>
    </row>
    <row r="2626" spans="1:1" x14ac:dyDescent="0.25">
      <c r="A2626" s="23"/>
    </row>
    <row r="2627" spans="1:1" x14ac:dyDescent="0.25">
      <c r="A2627" s="23"/>
    </row>
    <row r="2628" spans="1:1" x14ac:dyDescent="0.25">
      <c r="A2628" s="23"/>
    </row>
    <row r="2629" spans="1:1" x14ac:dyDescent="0.25">
      <c r="A2629" s="23"/>
    </row>
    <row r="2630" spans="1:1" x14ac:dyDescent="0.25">
      <c r="A2630" s="23"/>
    </row>
    <row r="2631" spans="1:1" x14ac:dyDescent="0.25">
      <c r="A2631" s="23"/>
    </row>
    <row r="2632" spans="1:1" x14ac:dyDescent="0.25">
      <c r="A2632" s="23"/>
    </row>
    <row r="2633" spans="1:1" x14ac:dyDescent="0.25">
      <c r="A2633" s="23"/>
    </row>
    <row r="2634" spans="1:1" x14ac:dyDescent="0.25">
      <c r="A2634" s="23"/>
    </row>
    <row r="2635" spans="1:1" x14ac:dyDescent="0.25">
      <c r="A2635" s="23"/>
    </row>
    <row r="2636" spans="1:1" x14ac:dyDescent="0.25">
      <c r="A2636" s="23"/>
    </row>
    <row r="2637" spans="1:1" x14ac:dyDescent="0.25">
      <c r="A2637" s="23"/>
    </row>
    <row r="2638" spans="1:1" x14ac:dyDescent="0.25">
      <c r="A2638" s="23"/>
    </row>
    <row r="2639" spans="1:1" x14ac:dyDescent="0.25">
      <c r="A2639" s="23"/>
    </row>
    <row r="2640" spans="1:1" x14ac:dyDescent="0.25">
      <c r="A2640" s="23"/>
    </row>
    <row r="2641" spans="1:1" x14ac:dyDescent="0.25">
      <c r="A2641" s="23"/>
    </row>
    <row r="2642" spans="1:1" x14ac:dyDescent="0.25">
      <c r="A2642" s="23"/>
    </row>
    <row r="2643" spans="1:1" x14ac:dyDescent="0.25">
      <c r="A2643" s="23"/>
    </row>
    <row r="2644" spans="1:1" x14ac:dyDescent="0.25">
      <c r="A2644" s="23"/>
    </row>
    <row r="2645" spans="1:1" x14ac:dyDescent="0.25">
      <c r="A2645" s="23"/>
    </row>
    <row r="2646" spans="1:1" x14ac:dyDescent="0.25">
      <c r="A2646" s="23"/>
    </row>
    <row r="2647" spans="1:1" x14ac:dyDescent="0.25">
      <c r="A2647" s="23"/>
    </row>
    <row r="2648" spans="1:1" x14ac:dyDescent="0.25">
      <c r="A2648" s="23"/>
    </row>
    <row r="2649" spans="1:1" x14ac:dyDescent="0.25">
      <c r="A2649" s="23"/>
    </row>
    <row r="2650" spans="1:1" x14ac:dyDescent="0.25">
      <c r="A2650" s="23"/>
    </row>
    <row r="2651" spans="1:1" x14ac:dyDescent="0.25">
      <c r="A2651" s="23"/>
    </row>
    <row r="2652" spans="1:1" x14ac:dyDescent="0.25">
      <c r="A2652" s="23"/>
    </row>
    <row r="2653" spans="1:1" x14ac:dyDescent="0.25">
      <c r="A2653" s="23"/>
    </row>
    <row r="2654" spans="1:1" x14ac:dyDescent="0.25">
      <c r="A2654" s="23"/>
    </row>
    <row r="2655" spans="1:1" x14ac:dyDescent="0.25">
      <c r="A2655" s="23"/>
    </row>
    <row r="2656" spans="1:1" x14ac:dyDescent="0.25">
      <c r="A2656" s="23"/>
    </row>
    <row r="2657" spans="1:1" x14ac:dyDescent="0.25">
      <c r="A2657" s="23"/>
    </row>
    <row r="2658" spans="1:1" x14ac:dyDescent="0.25">
      <c r="A2658" s="23"/>
    </row>
    <row r="2659" spans="1:1" x14ac:dyDescent="0.25">
      <c r="A2659" s="23"/>
    </row>
    <row r="2660" spans="1:1" x14ac:dyDescent="0.25">
      <c r="A2660" s="23"/>
    </row>
    <row r="2661" spans="1:1" x14ac:dyDescent="0.25">
      <c r="A2661" s="23"/>
    </row>
    <row r="2662" spans="1:1" x14ac:dyDescent="0.25">
      <c r="A2662" s="23"/>
    </row>
    <row r="2663" spans="1:1" x14ac:dyDescent="0.25">
      <c r="A2663" s="23"/>
    </row>
    <row r="2664" spans="1:1" x14ac:dyDescent="0.25">
      <c r="A2664" s="23"/>
    </row>
    <row r="2665" spans="1:1" x14ac:dyDescent="0.25">
      <c r="A2665" s="23"/>
    </row>
    <row r="2666" spans="1:1" x14ac:dyDescent="0.25">
      <c r="A2666" s="23"/>
    </row>
    <row r="2667" spans="1:1" x14ac:dyDescent="0.25">
      <c r="A2667" s="23"/>
    </row>
    <row r="2668" spans="1:1" x14ac:dyDescent="0.25">
      <c r="A2668" s="23"/>
    </row>
    <row r="2669" spans="1:1" x14ac:dyDescent="0.25">
      <c r="A2669" s="23"/>
    </row>
    <row r="2670" spans="1:1" x14ac:dyDescent="0.25">
      <c r="A2670" s="23"/>
    </row>
    <row r="2671" spans="1:1" x14ac:dyDescent="0.25">
      <c r="A2671" s="23"/>
    </row>
    <row r="2672" spans="1:1" x14ac:dyDescent="0.25">
      <c r="A2672" s="23"/>
    </row>
    <row r="2673" spans="1:1" x14ac:dyDescent="0.25">
      <c r="A2673" s="23"/>
    </row>
    <row r="2674" spans="1:1" x14ac:dyDescent="0.25">
      <c r="A2674" s="23"/>
    </row>
    <row r="2675" spans="1:1" x14ac:dyDescent="0.25">
      <c r="A2675" s="23"/>
    </row>
    <row r="2676" spans="1:1" x14ac:dyDescent="0.25">
      <c r="A2676" s="23"/>
    </row>
    <row r="2677" spans="1:1" x14ac:dyDescent="0.25">
      <c r="A2677" s="23"/>
    </row>
    <row r="2678" spans="1:1" x14ac:dyDescent="0.25">
      <c r="A2678" s="23"/>
    </row>
    <row r="2679" spans="1:1" x14ac:dyDescent="0.25">
      <c r="A2679" s="23"/>
    </row>
    <row r="2680" spans="1:1" x14ac:dyDescent="0.25">
      <c r="A2680" s="23"/>
    </row>
    <row r="2681" spans="1:1" x14ac:dyDescent="0.25">
      <c r="A2681" s="23"/>
    </row>
    <row r="2682" spans="1:1" x14ac:dyDescent="0.25">
      <c r="A2682" s="23"/>
    </row>
    <row r="2683" spans="1:1" x14ac:dyDescent="0.25">
      <c r="A2683" s="23"/>
    </row>
    <row r="2684" spans="1:1" x14ac:dyDescent="0.25">
      <c r="A2684" s="23"/>
    </row>
    <row r="2685" spans="1:1" x14ac:dyDescent="0.25">
      <c r="A2685" s="23"/>
    </row>
    <row r="2686" spans="1:1" x14ac:dyDescent="0.25">
      <c r="A2686" s="23"/>
    </row>
    <row r="2687" spans="1:1" x14ac:dyDescent="0.25">
      <c r="A2687" s="23"/>
    </row>
    <row r="2688" spans="1:1" x14ac:dyDescent="0.25">
      <c r="A2688" s="23"/>
    </row>
    <row r="2689" spans="1:1" x14ac:dyDescent="0.25">
      <c r="A2689" s="23"/>
    </row>
    <row r="2690" spans="1:1" x14ac:dyDescent="0.25">
      <c r="A2690" s="23"/>
    </row>
    <row r="2691" spans="1:1" x14ac:dyDescent="0.25">
      <c r="A2691" s="23"/>
    </row>
    <row r="2692" spans="1:1" x14ac:dyDescent="0.25">
      <c r="A2692" s="23"/>
    </row>
    <row r="2693" spans="1:1" x14ac:dyDescent="0.25">
      <c r="A2693" s="23"/>
    </row>
    <row r="2694" spans="1:1" x14ac:dyDescent="0.25">
      <c r="A2694" s="23"/>
    </row>
    <row r="2695" spans="1:1" x14ac:dyDescent="0.25">
      <c r="A2695" s="23"/>
    </row>
    <row r="2696" spans="1:1" x14ac:dyDescent="0.25">
      <c r="A2696" s="23"/>
    </row>
    <row r="2697" spans="1:1" x14ac:dyDescent="0.25">
      <c r="A2697" s="23"/>
    </row>
    <row r="2698" spans="1:1" x14ac:dyDescent="0.25">
      <c r="A2698" s="23"/>
    </row>
    <row r="2699" spans="1:1" x14ac:dyDescent="0.25">
      <c r="A2699" s="23"/>
    </row>
    <row r="2700" spans="1:1" x14ac:dyDescent="0.25">
      <c r="A2700" s="23"/>
    </row>
    <row r="2701" spans="1:1" x14ac:dyDescent="0.25">
      <c r="A2701" s="23"/>
    </row>
    <row r="2702" spans="1:1" x14ac:dyDescent="0.25">
      <c r="A2702" s="23"/>
    </row>
    <row r="2703" spans="1:1" x14ac:dyDescent="0.25">
      <c r="A2703" s="23"/>
    </row>
    <row r="2704" spans="1:1" x14ac:dyDescent="0.25">
      <c r="A2704" s="23"/>
    </row>
    <row r="2705" spans="1:1" x14ac:dyDescent="0.25">
      <c r="A2705" s="23"/>
    </row>
    <row r="2706" spans="1:1" x14ac:dyDescent="0.25">
      <c r="A2706" s="23"/>
    </row>
    <row r="2707" spans="1:1" x14ac:dyDescent="0.25">
      <c r="A2707" s="23"/>
    </row>
    <row r="2708" spans="1:1" x14ac:dyDescent="0.25">
      <c r="A2708" s="23"/>
    </row>
    <row r="2709" spans="1:1" x14ac:dyDescent="0.25">
      <c r="A2709" s="23"/>
    </row>
    <row r="2710" spans="1:1" x14ac:dyDescent="0.25">
      <c r="A2710" s="23"/>
    </row>
    <row r="2711" spans="1:1" x14ac:dyDescent="0.25">
      <c r="A2711" s="23"/>
    </row>
    <row r="2712" spans="1:1" x14ac:dyDescent="0.25">
      <c r="A2712" s="23"/>
    </row>
    <row r="2713" spans="1:1" x14ac:dyDescent="0.25">
      <c r="A2713" s="23"/>
    </row>
    <row r="2714" spans="1:1" x14ac:dyDescent="0.25">
      <c r="A2714" s="23"/>
    </row>
    <row r="2715" spans="1:1" x14ac:dyDescent="0.25">
      <c r="A2715" s="23"/>
    </row>
    <row r="2716" spans="1:1" x14ac:dyDescent="0.25">
      <c r="A2716" s="23"/>
    </row>
    <row r="2717" spans="1:1" x14ac:dyDescent="0.25">
      <c r="A2717" s="23"/>
    </row>
    <row r="2718" spans="1:1" x14ac:dyDescent="0.25">
      <c r="A2718" s="23"/>
    </row>
    <row r="2719" spans="1:1" x14ac:dyDescent="0.25">
      <c r="A2719" s="23"/>
    </row>
    <row r="2720" spans="1:1" x14ac:dyDescent="0.25">
      <c r="A2720" s="23"/>
    </row>
    <row r="2721" spans="1:1" x14ac:dyDescent="0.25">
      <c r="A2721" s="23"/>
    </row>
    <row r="2722" spans="1:1" x14ac:dyDescent="0.25">
      <c r="A2722" s="23"/>
    </row>
    <row r="2723" spans="1:1" x14ac:dyDescent="0.25">
      <c r="A2723" s="23"/>
    </row>
    <row r="2724" spans="1:1" x14ac:dyDescent="0.25">
      <c r="A2724" s="23"/>
    </row>
    <row r="2725" spans="1:1" x14ac:dyDescent="0.25">
      <c r="A2725" s="23"/>
    </row>
    <row r="2726" spans="1:1" x14ac:dyDescent="0.25">
      <c r="A2726" s="23"/>
    </row>
    <row r="2727" spans="1:1" x14ac:dyDescent="0.25">
      <c r="A2727" s="23"/>
    </row>
    <row r="2728" spans="1:1" x14ac:dyDescent="0.25">
      <c r="A2728" s="23"/>
    </row>
    <row r="2729" spans="1:1" x14ac:dyDescent="0.25">
      <c r="A2729" s="23"/>
    </row>
    <row r="2730" spans="1:1" x14ac:dyDescent="0.25">
      <c r="A2730" s="23"/>
    </row>
    <row r="2731" spans="1:1" x14ac:dyDescent="0.25">
      <c r="A2731" s="23"/>
    </row>
    <row r="2732" spans="1:1" x14ac:dyDescent="0.25">
      <c r="A2732" s="23"/>
    </row>
    <row r="2733" spans="1:1" x14ac:dyDescent="0.25">
      <c r="A2733" s="23"/>
    </row>
    <row r="2734" spans="1:1" x14ac:dyDescent="0.25">
      <c r="A2734" s="23"/>
    </row>
    <row r="2735" spans="1:1" x14ac:dyDescent="0.25">
      <c r="A2735" s="23"/>
    </row>
    <row r="2736" spans="1:1" x14ac:dyDescent="0.25">
      <c r="A2736" s="23"/>
    </row>
    <row r="2737" spans="1:1" x14ac:dyDescent="0.25">
      <c r="A2737" s="23"/>
    </row>
    <row r="2738" spans="1:1" x14ac:dyDescent="0.25">
      <c r="A2738" s="23"/>
    </row>
    <row r="2739" spans="1:1" x14ac:dyDescent="0.25">
      <c r="A2739" s="23"/>
    </row>
    <row r="2740" spans="1:1" x14ac:dyDescent="0.25">
      <c r="A2740" s="23"/>
    </row>
    <row r="2741" spans="1:1" x14ac:dyDescent="0.25">
      <c r="A2741" s="23"/>
    </row>
    <row r="2742" spans="1:1" x14ac:dyDescent="0.25">
      <c r="A2742" s="23"/>
    </row>
    <row r="2743" spans="1:1" x14ac:dyDescent="0.25">
      <c r="A2743" s="23"/>
    </row>
    <row r="2744" spans="1:1" x14ac:dyDescent="0.25">
      <c r="A2744" s="23"/>
    </row>
    <row r="2745" spans="1:1" x14ac:dyDescent="0.25">
      <c r="A2745" s="23"/>
    </row>
    <row r="2746" spans="1:1" x14ac:dyDescent="0.25">
      <c r="A2746" s="23"/>
    </row>
    <row r="2747" spans="1:1" x14ac:dyDescent="0.25">
      <c r="A2747" s="23"/>
    </row>
    <row r="2748" spans="1:1" x14ac:dyDescent="0.25">
      <c r="A2748" s="23"/>
    </row>
    <row r="2749" spans="1:1" x14ac:dyDescent="0.25">
      <c r="A2749" s="23"/>
    </row>
    <row r="2750" spans="1:1" x14ac:dyDescent="0.25">
      <c r="A2750" s="23"/>
    </row>
    <row r="2751" spans="1:1" x14ac:dyDescent="0.25">
      <c r="A2751" s="23"/>
    </row>
    <row r="2752" spans="1:1" x14ac:dyDescent="0.25">
      <c r="A2752" s="23"/>
    </row>
    <row r="2753" spans="1:1" x14ac:dyDescent="0.25">
      <c r="A2753" s="23"/>
    </row>
    <row r="2754" spans="1:1" x14ac:dyDescent="0.25">
      <c r="A2754" s="23"/>
    </row>
    <row r="2755" spans="1:1" x14ac:dyDescent="0.25">
      <c r="A2755" s="23"/>
    </row>
    <row r="2756" spans="1:1" x14ac:dyDescent="0.25">
      <c r="A2756" s="23"/>
    </row>
    <row r="2757" spans="1:1" x14ac:dyDescent="0.25">
      <c r="A2757" s="23"/>
    </row>
    <row r="2758" spans="1:1" x14ac:dyDescent="0.25">
      <c r="A2758" s="23"/>
    </row>
    <row r="2759" spans="1:1" x14ac:dyDescent="0.25">
      <c r="A2759" s="23"/>
    </row>
    <row r="2760" spans="1:1" x14ac:dyDescent="0.25">
      <c r="A2760" s="23"/>
    </row>
    <row r="2761" spans="1:1" x14ac:dyDescent="0.25">
      <c r="A2761" s="23"/>
    </row>
    <row r="2762" spans="1:1" x14ac:dyDescent="0.25">
      <c r="A2762" s="23"/>
    </row>
    <row r="2763" spans="1:1" x14ac:dyDescent="0.25">
      <c r="A2763" s="23"/>
    </row>
    <row r="2764" spans="1:1" x14ac:dyDescent="0.25">
      <c r="A2764" s="23"/>
    </row>
    <row r="2765" spans="1:1" x14ac:dyDescent="0.25">
      <c r="A2765" s="23"/>
    </row>
    <row r="2766" spans="1:1" x14ac:dyDescent="0.25">
      <c r="A2766" s="23"/>
    </row>
    <row r="2767" spans="1:1" x14ac:dyDescent="0.25">
      <c r="A2767" s="23"/>
    </row>
    <row r="2768" spans="1:1" x14ac:dyDescent="0.25">
      <c r="A2768" s="23"/>
    </row>
    <row r="2769" spans="1:1" x14ac:dyDescent="0.25">
      <c r="A2769" s="23"/>
    </row>
    <row r="2770" spans="1:1" x14ac:dyDescent="0.25">
      <c r="A2770" s="23"/>
    </row>
    <row r="2771" spans="1:1" x14ac:dyDescent="0.25">
      <c r="A2771" s="23"/>
    </row>
    <row r="2772" spans="1:1" x14ac:dyDescent="0.25">
      <c r="A2772" s="23"/>
    </row>
    <row r="2773" spans="1:1" x14ac:dyDescent="0.25">
      <c r="A2773" s="23"/>
    </row>
    <row r="2774" spans="1:1" x14ac:dyDescent="0.25">
      <c r="A2774" s="23"/>
    </row>
    <row r="2775" spans="1:1" x14ac:dyDescent="0.25">
      <c r="A2775" s="23"/>
    </row>
    <row r="2776" spans="1:1" x14ac:dyDescent="0.25">
      <c r="A2776" s="23"/>
    </row>
    <row r="2777" spans="1:1" x14ac:dyDescent="0.25">
      <c r="A2777" s="23"/>
    </row>
    <row r="2778" spans="1:1" x14ac:dyDescent="0.25">
      <c r="A2778" s="23"/>
    </row>
    <row r="2779" spans="1:1" x14ac:dyDescent="0.25">
      <c r="A2779" s="23"/>
    </row>
    <row r="2780" spans="1:1" x14ac:dyDescent="0.25">
      <c r="A2780" s="23"/>
    </row>
    <row r="2781" spans="1:1" x14ac:dyDescent="0.25">
      <c r="A2781" s="23"/>
    </row>
    <row r="2782" spans="1:1" x14ac:dyDescent="0.25">
      <c r="A2782" s="23"/>
    </row>
    <row r="2783" spans="1:1" x14ac:dyDescent="0.25">
      <c r="A2783" s="23"/>
    </row>
    <row r="2784" spans="1:1" x14ac:dyDescent="0.25">
      <c r="A2784" s="23"/>
    </row>
    <row r="2785" spans="1:1" x14ac:dyDescent="0.25">
      <c r="A2785" s="23"/>
    </row>
    <row r="2786" spans="1:1" x14ac:dyDescent="0.25">
      <c r="A2786" s="23"/>
    </row>
    <row r="2787" spans="1:1" x14ac:dyDescent="0.25">
      <c r="A2787" s="23"/>
    </row>
    <row r="2788" spans="1:1" x14ac:dyDescent="0.25">
      <c r="A2788" s="23"/>
    </row>
    <row r="2789" spans="1:1" x14ac:dyDescent="0.25">
      <c r="A2789" s="23"/>
    </row>
    <row r="2790" spans="1:1" x14ac:dyDescent="0.25">
      <c r="A2790" s="23"/>
    </row>
    <row r="2791" spans="1:1" x14ac:dyDescent="0.25">
      <c r="A2791" s="23"/>
    </row>
    <row r="2792" spans="1:1" x14ac:dyDescent="0.25">
      <c r="A2792" s="23"/>
    </row>
    <row r="2793" spans="1:1" x14ac:dyDescent="0.25">
      <c r="A2793" s="23"/>
    </row>
    <row r="2794" spans="1:1" x14ac:dyDescent="0.25">
      <c r="A2794" s="23"/>
    </row>
    <row r="2795" spans="1:1" x14ac:dyDescent="0.25">
      <c r="A2795" s="23"/>
    </row>
    <row r="2796" spans="1:1" x14ac:dyDescent="0.25">
      <c r="A2796" s="23"/>
    </row>
    <row r="2797" spans="1:1" x14ac:dyDescent="0.25">
      <c r="A2797" s="23"/>
    </row>
    <row r="2798" spans="1:1" x14ac:dyDescent="0.25">
      <c r="A2798" s="23"/>
    </row>
    <row r="2799" spans="1:1" x14ac:dyDescent="0.25">
      <c r="A2799" s="23"/>
    </row>
    <row r="2800" spans="1:1" x14ac:dyDescent="0.25">
      <c r="A2800" s="23"/>
    </row>
    <row r="2801" spans="1:1" x14ac:dyDescent="0.25">
      <c r="A2801" s="23"/>
    </row>
    <row r="2802" spans="1:1" x14ac:dyDescent="0.25">
      <c r="A2802" s="23"/>
    </row>
    <row r="2803" spans="1:1" x14ac:dyDescent="0.25">
      <c r="A2803" s="23"/>
    </row>
    <row r="2804" spans="1:1" x14ac:dyDescent="0.25">
      <c r="A2804" s="23"/>
    </row>
    <row r="2805" spans="1:1" x14ac:dyDescent="0.25">
      <c r="A2805" s="23"/>
    </row>
    <row r="2806" spans="1:1" x14ac:dyDescent="0.25">
      <c r="A2806" s="23"/>
    </row>
    <row r="2807" spans="1:1" x14ac:dyDescent="0.25">
      <c r="A2807" s="23"/>
    </row>
    <row r="2808" spans="1:1" x14ac:dyDescent="0.25">
      <c r="A2808" s="23"/>
    </row>
    <row r="2809" spans="1:1" x14ac:dyDescent="0.25">
      <c r="A2809" s="23"/>
    </row>
    <row r="2810" spans="1:1" x14ac:dyDescent="0.25">
      <c r="A2810" s="23"/>
    </row>
    <row r="2811" spans="1:1" x14ac:dyDescent="0.25">
      <c r="A2811" s="23"/>
    </row>
    <row r="2812" spans="1:1" x14ac:dyDescent="0.25">
      <c r="A2812" s="23"/>
    </row>
    <row r="2813" spans="1:1" x14ac:dyDescent="0.25">
      <c r="A2813" s="23"/>
    </row>
    <row r="2814" spans="1:1" x14ac:dyDescent="0.25">
      <c r="A2814" s="23"/>
    </row>
    <row r="2815" spans="1:1" x14ac:dyDescent="0.25">
      <c r="A2815" s="23"/>
    </row>
    <row r="2816" spans="1:1" x14ac:dyDescent="0.25">
      <c r="A2816" s="23"/>
    </row>
    <row r="2817" spans="1:1" x14ac:dyDescent="0.25">
      <c r="A2817" s="23"/>
    </row>
    <row r="2818" spans="1:1" x14ac:dyDescent="0.25">
      <c r="A2818" s="23"/>
    </row>
    <row r="2819" spans="1:1" x14ac:dyDescent="0.25">
      <c r="A2819" s="23"/>
    </row>
    <row r="2820" spans="1:1" x14ac:dyDescent="0.25">
      <c r="A2820" s="23"/>
    </row>
    <row r="2821" spans="1:1" x14ac:dyDescent="0.25">
      <c r="A2821" s="23"/>
    </row>
    <row r="2822" spans="1:1" x14ac:dyDescent="0.25">
      <c r="A2822" s="23"/>
    </row>
    <row r="2823" spans="1:1" x14ac:dyDescent="0.25">
      <c r="A2823" s="23"/>
    </row>
    <row r="2824" spans="1:1" x14ac:dyDescent="0.25">
      <c r="A2824" s="23"/>
    </row>
    <row r="2825" spans="1:1" x14ac:dyDescent="0.25">
      <c r="A2825" s="23"/>
    </row>
    <row r="2826" spans="1:1" x14ac:dyDescent="0.25">
      <c r="A2826" s="23"/>
    </row>
    <row r="2827" spans="1:1" x14ac:dyDescent="0.25">
      <c r="A2827" s="23"/>
    </row>
    <row r="2828" spans="1:1" x14ac:dyDescent="0.25">
      <c r="A2828" s="23"/>
    </row>
    <row r="2829" spans="1:1" x14ac:dyDescent="0.25">
      <c r="A2829" s="23"/>
    </row>
    <row r="2830" spans="1:1" x14ac:dyDescent="0.25">
      <c r="A2830" s="23"/>
    </row>
    <row r="2831" spans="1:1" x14ac:dyDescent="0.25">
      <c r="A2831" s="23"/>
    </row>
    <row r="2832" spans="1:1" x14ac:dyDescent="0.25">
      <c r="A2832" s="23"/>
    </row>
    <row r="2833" spans="1:1" x14ac:dyDescent="0.25">
      <c r="A2833" s="23"/>
    </row>
    <row r="2834" spans="1:1" x14ac:dyDescent="0.25">
      <c r="A2834" s="23"/>
    </row>
    <row r="2835" spans="1:1" x14ac:dyDescent="0.25">
      <c r="A2835" s="23"/>
    </row>
    <row r="2836" spans="1:1" x14ac:dyDescent="0.25">
      <c r="A2836" s="23"/>
    </row>
    <row r="2837" spans="1:1" x14ac:dyDescent="0.25">
      <c r="A2837" s="23"/>
    </row>
    <row r="2838" spans="1:1" x14ac:dyDescent="0.25">
      <c r="A2838" s="23"/>
    </row>
    <row r="2839" spans="1:1" x14ac:dyDescent="0.25">
      <c r="A2839" s="23"/>
    </row>
    <row r="2840" spans="1:1" x14ac:dyDescent="0.25">
      <c r="A2840" s="23"/>
    </row>
    <row r="2841" spans="1:1" x14ac:dyDescent="0.25">
      <c r="A2841" s="23"/>
    </row>
    <row r="2842" spans="1:1" x14ac:dyDescent="0.25">
      <c r="A2842" s="23"/>
    </row>
    <row r="2843" spans="1:1" x14ac:dyDescent="0.25">
      <c r="A2843" s="23"/>
    </row>
    <row r="2844" spans="1:1" x14ac:dyDescent="0.25">
      <c r="A2844" s="23"/>
    </row>
    <row r="2845" spans="1:1" x14ac:dyDescent="0.25">
      <c r="A2845" s="23"/>
    </row>
    <row r="2846" spans="1:1" x14ac:dyDescent="0.25">
      <c r="A2846" s="23"/>
    </row>
    <row r="2847" spans="1:1" x14ac:dyDescent="0.25">
      <c r="A2847" s="23"/>
    </row>
    <row r="2848" spans="1:1" x14ac:dyDescent="0.25">
      <c r="A2848" s="23"/>
    </row>
    <row r="2849" spans="1:1" x14ac:dyDescent="0.25">
      <c r="A2849" s="23"/>
    </row>
    <row r="2850" spans="1:1" x14ac:dyDescent="0.25">
      <c r="A2850" s="23"/>
    </row>
    <row r="2851" spans="1:1" x14ac:dyDescent="0.25">
      <c r="A2851" s="23"/>
    </row>
    <row r="2852" spans="1:1" x14ac:dyDescent="0.25">
      <c r="A2852" s="23"/>
    </row>
    <row r="2853" spans="1:1" x14ac:dyDescent="0.25">
      <c r="A2853" s="23"/>
    </row>
    <row r="2854" spans="1:1" x14ac:dyDescent="0.25">
      <c r="A2854" s="23"/>
    </row>
    <row r="2855" spans="1:1" x14ac:dyDescent="0.25">
      <c r="A2855" s="23"/>
    </row>
    <row r="2856" spans="1:1" x14ac:dyDescent="0.25">
      <c r="A2856" s="23"/>
    </row>
    <row r="2857" spans="1:1" x14ac:dyDescent="0.25">
      <c r="A2857" s="23"/>
    </row>
    <row r="2858" spans="1:1" x14ac:dyDescent="0.25">
      <c r="A2858" s="23"/>
    </row>
    <row r="2859" spans="1:1" x14ac:dyDescent="0.25">
      <c r="A2859" s="23"/>
    </row>
    <row r="2860" spans="1:1" x14ac:dyDescent="0.25">
      <c r="A2860" s="23"/>
    </row>
    <row r="2861" spans="1:1" x14ac:dyDescent="0.25">
      <c r="A2861" s="23"/>
    </row>
    <row r="2862" spans="1:1" x14ac:dyDescent="0.25">
      <c r="A2862" s="23"/>
    </row>
    <row r="2863" spans="1:1" x14ac:dyDescent="0.25">
      <c r="A2863" s="23"/>
    </row>
    <row r="2864" spans="1:1" x14ac:dyDescent="0.25">
      <c r="A2864" s="23"/>
    </row>
    <row r="2865" spans="1:1" x14ac:dyDescent="0.25">
      <c r="A2865" s="23"/>
    </row>
    <row r="2866" spans="1:1" x14ac:dyDescent="0.25">
      <c r="A2866" s="23"/>
    </row>
    <row r="2867" spans="1:1" x14ac:dyDescent="0.25">
      <c r="A2867" s="23"/>
    </row>
    <row r="2868" spans="1:1" x14ac:dyDescent="0.25">
      <c r="A2868" s="23"/>
    </row>
    <row r="2869" spans="1:1" x14ac:dyDescent="0.25">
      <c r="A2869" s="23"/>
    </row>
    <row r="2870" spans="1:1" x14ac:dyDescent="0.25">
      <c r="A2870" s="23"/>
    </row>
    <row r="2871" spans="1:1" x14ac:dyDescent="0.25">
      <c r="A2871" s="23"/>
    </row>
    <row r="2872" spans="1:1" x14ac:dyDescent="0.25">
      <c r="A2872" s="23"/>
    </row>
    <row r="2873" spans="1:1" x14ac:dyDescent="0.25">
      <c r="A2873" s="23"/>
    </row>
    <row r="2874" spans="1:1" x14ac:dyDescent="0.25">
      <c r="A2874" s="23"/>
    </row>
    <row r="2875" spans="1:1" x14ac:dyDescent="0.25">
      <c r="A2875" s="23"/>
    </row>
    <row r="2876" spans="1:1" x14ac:dyDescent="0.25">
      <c r="A2876" s="23"/>
    </row>
    <row r="2877" spans="1:1" x14ac:dyDescent="0.25">
      <c r="A2877" s="23"/>
    </row>
    <row r="2878" spans="1:1" x14ac:dyDescent="0.25">
      <c r="A2878" s="23"/>
    </row>
    <row r="2879" spans="1:1" x14ac:dyDescent="0.25">
      <c r="A2879" s="23"/>
    </row>
    <row r="2880" spans="1:1" x14ac:dyDescent="0.25">
      <c r="A2880" s="23"/>
    </row>
    <row r="2881" spans="1:1" x14ac:dyDescent="0.25">
      <c r="A2881" s="23"/>
    </row>
    <row r="2882" spans="1:1" x14ac:dyDescent="0.25">
      <c r="A2882" s="23"/>
    </row>
    <row r="2883" spans="1:1" x14ac:dyDescent="0.25">
      <c r="A2883" s="23"/>
    </row>
    <row r="2884" spans="1:1" x14ac:dyDescent="0.25">
      <c r="A2884" s="23"/>
    </row>
    <row r="2885" spans="1:1" x14ac:dyDescent="0.25">
      <c r="A2885" s="23"/>
    </row>
    <row r="2886" spans="1:1" x14ac:dyDescent="0.25">
      <c r="A2886" s="23"/>
    </row>
    <row r="2887" spans="1:1" x14ac:dyDescent="0.25">
      <c r="A2887" s="23"/>
    </row>
    <row r="2888" spans="1:1" x14ac:dyDescent="0.25">
      <c r="A2888" s="23"/>
    </row>
    <row r="2889" spans="1:1" x14ac:dyDescent="0.25">
      <c r="A2889" s="23"/>
    </row>
    <row r="2890" spans="1:1" x14ac:dyDescent="0.25">
      <c r="A2890" s="23"/>
    </row>
    <row r="2891" spans="1:1" x14ac:dyDescent="0.25">
      <c r="A2891" s="23"/>
    </row>
    <row r="2892" spans="1:1" x14ac:dyDescent="0.25">
      <c r="A2892" s="23"/>
    </row>
    <row r="2893" spans="1:1" x14ac:dyDescent="0.25">
      <c r="A2893" s="23"/>
    </row>
    <row r="2894" spans="1:1" x14ac:dyDescent="0.25">
      <c r="A2894" s="23"/>
    </row>
    <row r="2895" spans="1:1" x14ac:dyDescent="0.25">
      <c r="A2895" s="23"/>
    </row>
    <row r="2896" spans="1:1" x14ac:dyDescent="0.25">
      <c r="A2896" s="23"/>
    </row>
    <row r="2897" spans="1:1" x14ac:dyDescent="0.25">
      <c r="A2897" s="23"/>
    </row>
    <row r="2898" spans="1:1" x14ac:dyDescent="0.25">
      <c r="A2898" s="23"/>
    </row>
    <row r="2899" spans="1:1" x14ac:dyDescent="0.25">
      <c r="A2899" s="23"/>
    </row>
    <row r="2900" spans="1:1" x14ac:dyDescent="0.25">
      <c r="A2900" s="23"/>
    </row>
    <row r="2901" spans="1:1" x14ac:dyDescent="0.25">
      <c r="A2901" s="23"/>
    </row>
    <row r="2902" spans="1:1" x14ac:dyDescent="0.25">
      <c r="A2902" s="23"/>
    </row>
    <row r="2903" spans="1:1" x14ac:dyDescent="0.25">
      <c r="A2903" s="23"/>
    </row>
    <row r="2904" spans="1:1" x14ac:dyDescent="0.25">
      <c r="A2904" s="23"/>
    </row>
    <row r="2905" spans="1:1" x14ac:dyDescent="0.25">
      <c r="A2905" s="23"/>
    </row>
    <row r="2906" spans="1:1" x14ac:dyDescent="0.25">
      <c r="A2906" s="23"/>
    </row>
    <row r="2907" spans="1:1" x14ac:dyDescent="0.25">
      <c r="A2907" s="23"/>
    </row>
    <row r="2908" spans="1:1" x14ac:dyDescent="0.25">
      <c r="A2908" s="23"/>
    </row>
    <row r="2909" spans="1:1" x14ac:dyDescent="0.25">
      <c r="A2909" s="23"/>
    </row>
    <row r="2910" spans="1:1" x14ac:dyDescent="0.25">
      <c r="A2910" s="23"/>
    </row>
    <row r="2911" spans="1:1" x14ac:dyDescent="0.25">
      <c r="A2911" s="23"/>
    </row>
    <row r="2912" spans="1:1" x14ac:dyDescent="0.25">
      <c r="A2912" s="23"/>
    </row>
    <row r="2913" spans="1:1" x14ac:dyDescent="0.25">
      <c r="A2913" s="23"/>
    </row>
    <row r="2914" spans="1:1" x14ac:dyDescent="0.25">
      <c r="A2914" s="23"/>
    </row>
    <row r="2915" spans="1:1" x14ac:dyDescent="0.25">
      <c r="A2915" s="23"/>
    </row>
    <row r="2916" spans="1:1" x14ac:dyDescent="0.25">
      <c r="A2916" s="23"/>
    </row>
    <row r="2917" spans="1:1" x14ac:dyDescent="0.25">
      <c r="A2917" s="23"/>
    </row>
    <row r="2918" spans="1:1" x14ac:dyDescent="0.25">
      <c r="A2918" s="23"/>
    </row>
    <row r="2919" spans="1:1" x14ac:dyDescent="0.25">
      <c r="A2919" s="23"/>
    </row>
    <row r="2920" spans="1:1" x14ac:dyDescent="0.25">
      <c r="A2920" s="23"/>
    </row>
    <row r="2921" spans="1:1" x14ac:dyDescent="0.25">
      <c r="A2921" s="23"/>
    </row>
    <row r="2922" spans="1:1" x14ac:dyDescent="0.25">
      <c r="A2922" s="23"/>
    </row>
    <row r="2923" spans="1:1" x14ac:dyDescent="0.25">
      <c r="A2923" s="23"/>
    </row>
    <row r="2924" spans="1:1" x14ac:dyDescent="0.25">
      <c r="A2924" s="23"/>
    </row>
    <row r="2925" spans="1:1" x14ac:dyDescent="0.25">
      <c r="A2925" s="23"/>
    </row>
    <row r="2926" spans="1:1" x14ac:dyDescent="0.25">
      <c r="A2926" s="23"/>
    </row>
    <row r="2927" spans="1:1" x14ac:dyDescent="0.25">
      <c r="A2927" s="23"/>
    </row>
    <row r="2928" spans="1:1" x14ac:dyDescent="0.25">
      <c r="A2928" s="23"/>
    </row>
    <row r="2929" spans="1:1" x14ac:dyDescent="0.25">
      <c r="A2929" s="23"/>
    </row>
    <row r="2930" spans="1:1" x14ac:dyDescent="0.25">
      <c r="A2930" s="23"/>
    </row>
    <row r="2931" spans="1:1" x14ac:dyDescent="0.25">
      <c r="A2931" s="23"/>
    </row>
    <row r="2932" spans="1:1" x14ac:dyDescent="0.25">
      <c r="A2932" s="23"/>
    </row>
    <row r="2933" spans="1:1" x14ac:dyDescent="0.25">
      <c r="A2933" s="23"/>
    </row>
    <row r="2934" spans="1:1" x14ac:dyDescent="0.25">
      <c r="A2934" s="23"/>
    </row>
    <row r="2935" spans="1:1" x14ac:dyDescent="0.25">
      <c r="A2935" s="23"/>
    </row>
    <row r="2936" spans="1:1" x14ac:dyDescent="0.25">
      <c r="A2936" s="23"/>
    </row>
    <row r="2937" spans="1:1" x14ac:dyDescent="0.25">
      <c r="A2937" s="23"/>
    </row>
    <row r="2938" spans="1:1" x14ac:dyDescent="0.25">
      <c r="A2938" s="23"/>
    </row>
    <row r="2939" spans="1:1" x14ac:dyDescent="0.25">
      <c r="A2939" s="23"/>
    </row>
    <row r="2940" spans="1:1" x14ac:dyDescent="0.25">
      <c r="A2940" s="23"/>
    </row>
    <row r="2941" spans="1:1" x14ac:dyDescent="0.25">
      <c r="A2941" s="23"/>
    </row>
    <row r="2942" spans="1:1" x14ac:dyDescent="0.25">
      <c r="A2942" s="23"/>
    </row>
    <row r="2943" spans="1:1" x14ac:dyDescent="0.25">
      <c r="A2943" s="23"/>
    </row>
    <row r="2944" spans="1:1" x14ac:dyDescent="0.25">
      <c r="A2944" s="23"/>
    </row>
    <row r="2945" spans="1:1" x14ac:dyDescent="0.25">
      <c r="A2945" s="23"/>
    </row>
    <row r="2946" spans="1:1" x14ac:dyDescent="0.25">
      <c r="A2946" s="23"/>
    </row>
    <row r="2947" spans="1:1" x14ac:dyDescent="0.25">
      <c r="A2947" s="23"/>
    </row>
    <row r="2948" spans="1:1" x14ac:dyDescent="0.25">
      <c r="A2948" s="23"/>
    </row>
    <row r="2949" spans="1:1" x14ac:dyDescent="0.25">
      <c r="A2949" s="23"/>
    </row>
    <row r="2950" spans="1:1" x14ac:dyDescent="0.25">
      <c r="A2950" s="23"/>
    </row>
    <row r="2951" spans="1:1" x14ac:dyDescent="0.25">
      <c r="A2951" s="23"/>
    </row>
    <row r="2952" spans="1:1" x14ac:dyDescent="0.25">
      <c r="A2952" s="23"/>
    </row>
    <row r="2953" spans="1:1" x14ac:dyDescent="0.25">
      <c r="A2953" s="23"/>
    </row>
    <row r="2954" spans="1:1" x14ac:dyDescent="0.25">
      <c r="A2954" s="23"/>
    </row>
    <row r="2955" spans="1:1" x14ac:dyDescent="0.25">
      <c r="A2955" s="23"/>
    </row>
    <row r="2956" spans="1:1" x14ac:dyDescent="0.25">
      <c r="A2956" s="23"/>
    </row>
    <row r="2957" spans="1:1" x14ac:dyDescent="0.25">
      <c r="A2957" s="23"/>
    </row>
    <row r="2958" spans="1:1" x14ac:dyDescent="0.25">
      <c r="A2958" s="23"/>
    </row>
    <row r="2959" spans="1:1" x14ac:dyDescent="0.25">
      <c r="A2959" s="23"/>
    </row>
    <row r="2960" spans="1:1" x14ac:dyDescent="0.25">
      <c r="A2960" s="23"/>
    </row>
    <row r="2961" spans="1:1" x14ac:dyDescent="0.25">
      <c r="A2961" s="23"/>
    </row>
    <row r="2962" spans="1:1" x14ac:dyDescent="0.25">
      <c r="A2962" s="23"/>
    </row>
    <row r="2963" spans="1:1" x14ac:dyDescent="0.25">
      <c r="A2963" s="23"/>
    </row>
    <row r="2964" spans="1:1" x14ac:dyDescent="0.25">
      <c r="A2964" s="23"/>
    </row>
    <row r="2965" spans="1:1" x14ac:dyDescent="0.25">
      <c r="A2965" s="23"/>
    </row>
    <row r="2966" spans="1:1" x14ac:dyDescent="0.25">
      <c r="A2966" s="23"/>
    </row>
    <row r="2967" spans="1:1" x14ac:dyDescent="0.25">
      <c r="A2967" s="23"/>
    </row>
    <row r="2968" spans="1:1" x14ac:dyDescent="0.25">
      <c r="A2968" s="23"/>
    </row>
    <row r="2969" spans="1:1" x14ac:dyDescent="0.25">
      <c r="A2969" s="23"/>
    </row>
    <row r="2970" spans="1:1" x14ac:dyDescent="0.25">
      <c r="A2970" s="23"/>
    </row>
    <row r="2971" spans="1:1" x14ac:dyDescent="0.25">
      <c r="A2971" s="23"/>
    </row>
    <row r="2972" spans="1:1" x14ac:dyDescent="0.25">
      <c r="A2972" s="23"/>
    </row>
    <row r="2973" spans="1:1" x14ac:dyDescent="0.25">
      <c r="A2973" s="23"/>
    </row>
    <row r="2974" spans="1:1" x14ac:dyDescent="0.25">
      <c r="A2974" s="23"/>
    </row>
    <row r="2975" spans="1:1" x14ac:dyDescent="0.25">
      <c r="A2975" s="23"/>
    </row>
    <row r="2976" spans="1:1" x14ac:dyDescent="0.25">
      <c r="A2976" s="23"/>
    </row>
    <row r="2977" spans="1:1" x14ac:dyDescent="0.25">
      <c r="A2977" s="23"/>
    </row>
    <row r="2978" spans="1:1" x14ac:dyDescent="0.25">
      <c r="A2978" s="23"/>
    </row>
    <row r="2979" spans="1:1" x14ac:dyDescent="0.25">
      <c r="A2979" s="23"/>
    </row>
    <row r="2980" spans="1:1" x14ac:dyDescent="0.25">
      <c r="A2980" s="23"/>
    </row>
    <row r="2981" spans="1:1" x14ac:dyDescent="0.25">
      <c r="A2981" s="23"/>
    </row>
    <row r="2982" spans="1:1" x14ac:dyDescent="0.25">
      <c r="A2982" s="23"/>
    </row>
    <row r="2983" spans="1:1" x14ac:dyDescent="0.25">
      <c r="A2983" s="23"/>
    </row>
    <row r="2984" spans="1:1" x14ac:dyDescent="0.25">
      <c r="A2984" s="23"/>
    </row>
    <row r="2985" spans="1:1" x14ac:dyDescent="0.25">
      <c r="A2985" s="23"/>
    </row>
    <row r="2986" spans="1:1" x14ac:dyDescent="0.25">
      <c r="A2986" s="23"/>
    </row>
    <row r="2987" spans="1:1" x14ac:dyDescent="0.25">
      <c r="A2987" s="23"/>
    </row>
    <row r="2988" spans="1:1" x14ac:dyDescent="0.25">
      <c r="A2988" s="23"/>
    </row>
    <row r="2989" spans="1:1" x14ac:dyDescent="0.25">
      <c r="A2989" s="23"/>
    </row>
    <row r="2990" spans="1:1" x14ac:dyDescent="0.25">
      <c r="A2990" s="23"/>
    </row>
    <row r="2991" spans="1:1" x14ac:dyDescent="0.25">
      <c r="A2991" s="23"/>
    </row>
    <row r="2992" spans="1:1" x14ac:dyDescent="0.25">
      <c r="A2992" s="23"/>
    </row>
    <row r="2993" spans="1:1" x14ac:dyDescent="0.25">
      <c r="A2993" s="23"/>
    </row>
    <row r="2994" spans="1:1" x14ac:dyDescent="0.25">
      <c r="A2994" s="23"/>
    </row>
    <row r="2995" spans="1:1" x14ac:dyDescent="0.25">
      <c r="A2995" s="23"/>
    </row>
    <row r="2996" spans="1:1" x14ac:dyDescent="0.25">
      <c r="A2996" s="23"/>
    </row>
    <row r="2997" spans="1:1" x14ac:dyDescent="0.25">
      <c r="A2997" s="23"/>
    </row>
    <row r="2998" spans="1:1" x14ac:dyDescent="0.25">
      <c r="A2998" s="23"/>
    </row>
    <row r="2999" spans="1:1" x14ac:dyDescent="0.25">
      <c r="A2999" s="23"/>
    </row>
    <row r="3000" spans="1:1" x14ac:dyDescent="0.25">
      <c r="A3000" s="23"/>
    </row>
    <row r="3001" spans="1:1" x14ac:dyDescent="0.25">
      <c r="A3001" s="23"/>
    </row>
    <row r="3002" spans="1:1" x14ac:dyDescent="0.25">
      <c r="A3002" s="23"/>
    </row>
    <row r="3003" spans="1:1" x14ac:dyDescent="0.25">
      <c r="A3003" s="23"/>
    </row>
    <row r="3004" spans="1:1" x14ac:dyDescent="0.25">
      <c r="A3004" s="23"/>
    </row>
    <row r="3005" spans="1:1" x14ac:dyDescent="0.25">
      <c r="A3005" s="23"/>
    </row>
    <row r="3006" spans="1:1" x14ac:dyDescent="0.25">
      <c r="A3006" s="23"/>
    </row>
    <row r="3007" spans="1:1" x14ac:dyDescent="0.25">
      <c r="A3007" s="23"/>
    </row>
    <row r="3008" spans="1:1" x14ac:dyDescent="0.25">
      <c r="A3008" s="23"/>
    </row>
    <row r="3009" spans="1:1" x14ac:dyDescent="0.25">
      <c r="A3009" s="23"/>
    </row>
    <row r="3010" spans="1:1" x14ac:dyDescent="0.25">
      <c r="A3010" s="23"/>
    </row>
    <row r="3011" spans="1:1" x14ac:dyDescent="0.25">
      <c r="A3011" s="23"/>
    </row>
    <row r="3012" spans="1:1" x14ac:dyDescent="0.25">
      <c r="A3012" s="23"/>
    </row>
    <row r="3013" spans="1:1" x14ac:dyDescent="0.25">
      <c r="A3013" s="23"/>
    </row>
    <row r="3014" spans="1:1" x14ac:dyDescent="0.25">
      <c r="A3014" s="23"/>
    </row>
    <row r="3015" spans="1:1" x14ac:dyDescent="0.25">
      <c r="A3015" s="23"/>
    </row>
    <row r="3016" spans="1:1" x14ac:dyDescent="0.25">
      <c r="A3016" s="23"/>
    </row>
    <row r="3017" spans="1:1" x14ac:dyDescent="0.25">
      <c r="A3017" s="23"/>
    </row>
    <row r="3018" spans="1:1" x14ac:dyDescent="0.25">
      <c r="A3018" s="23"/>
    </row>
    <row r="3019" spans="1:1" x14ac:dyDescent="0.25">
      <c r="A3019" s="23"/>
    </row>
    <row r="3020" spans="1:1" x14ac:dyDescent="0.25">
      <c r="A3020" s="23"/>
    </row>
    <row r="3021" spans="1:1" x14ac:dyDescent="0.25">
      <c r="A3021" s="23"/>
    </row>
    <row r="3022" spans="1:1" x14ac:dyDescent="0.25">
      <c r="A3022" s="23"/>
    </row>
    <row r="3023" spans="1:1" x14ac:dyDescent="0.25">
      <c r="A3023" s="23"/>
    </row>
    <row r="3024" spans="1:1" x14ac:dyDescent="0.25">
      <c r="A3024" s="23"/>
    </row>
    <row r="3025" spans="1:1" x14ac:dyDescent="0.25">
      <c r="A3025" s="23"/>
    </row>
    <row r="3026" spans="1:1" x14ac:dyDescent="0.25">
      <c r="A3026" s="23"/>
    </row>
    <row r="3027" spans="1:1" x14ac:dyDescent="0.25">
      <c r="A3027" s="23"/>
    </row>
    <row r="3028" spans="1:1" x14ac:dyDescent="0.25">
      <c r="A3028" s="23"/>
    </row>
    <row r="3029" spans="1:1" x14ac:dyDescent="0.25">
      <c r="A3029" s="23"/>
    </row>
    <row r="3030" spans="1:1" x14ac:dyDescent="0.25">
      <c r="A3030" s="23"/>
    </row>
    <row r="3031" spans="1:1" x14ac:dyDescent="0.25">
      <c r="A3031" s="23"/>
    </row>
    <row r="3032" spans="1:1" x14ac:dyDescent="0.25">
      <c r="A3032" s="23"/>
    </row>
    <row r="3033" spans="1:1" x14ac:dyDescent="0.25">
      <c r="A3033" s="23"/>
    </row>
    <row r="3034" spans="1:1" x14ac:dyDescent="0.25">
      <c r="A3034" s="23"/>
    </row>
    <row r="3035" spans="1:1" x14ac:dyDescent="0.25">
      <c r="A3035" s="23"/>
    </row>
    <row r="3036" spans="1:1" x14ac:dyDescent="0.25">
      <c r="A3036" s="23"/>
    </row>
    <row r="3037" spans="1:1" x14ac:dyDescent="0.25">
      <c r="A3037" s="23"/>
    </row>
    <row r="3038" spans="1:1" x14ac:dyDescent="0.25">
      <c r="A3038" s="23"/>
    </row>
    <row r="3039" spans="1:1" x14ac:dyDescent="0.25">
      <c r="A3039" s="23"/>
    </row>
    <row r="3040" spans="1:1" x14ac:dyDescent="0.25">
      <c r="A3040" s="23"/>
    </row>
    <row r="3041" spans="1:1" x14ac:dyDescent="0.25">
      <c r="A3041" s="23"/>
    </row>
    <row r="3042" spans="1:1" x14ac:dyDescent="0.25">
      <c r="A3042" s="23"/>
    </row>
    <row r="3043" spans="1:1" x14ac:dyDescent="0.25">
      <c r="A3043" s="23"/>
    </row>
    <row r="3044" spans="1:1" x14ac:dyDescent="0.25">
      <c r="A3044" s="23"/>
    </row>
    <row r="3045" spans="1:1" x14ac:dyDescent="0.25">
      <c r="A3045" s="23"/>
    </row>
    <row r="3046" spans="1:1" x14ac:dyDescent="0.25">
      <c r="A3046" s="23"/>
    </row>
    <row r="3047" spans="1:1" x14ac:dyDescent="0.25">
      <c r="A3047" s="23"/>
    </row>
    <row r="3048" spans="1:1" x14ac:dyDescent="0.25">
      <c r="A3048" s="23"/>
    </row>
    <row r="3049" spans="1:1" x14ac:dyDescent="0.25">
      <c r="A3049" s="23"/>
    </row>
    <row r="3050" spans="1:1" x14ac:dyDescent="0.25">
      <c r="A3050" s="23"/>
    </row>
    <row r="3051" spans="1:1" x14ac:dyDescent="0.25">
      <c r="A3051" s="23"/>
    </row>
    <row r="3052" spans="1:1" x14ac:dyDescent="0.25">
      <c r="A3052" s="23"/>
    </row>
    <row r="3053" spans="1:1" x14ac:dyDescent="0.25">
      <c r="A3053" s="23"/>
    </row>
    <row r="3054" spans="1:1" x14ac:dyDescent="0.25">
      <c r="A3054" s="23"/>
    </row>
    <row r="3055" spans="1:1" x14ac:dyDescent="0.25">
      <c r="A3055" s="23"/>
    </row>
    <row r="3056" spans="1:1" x14ac:dyDescent="0.25">
      <c r="A3056" s="23"/>
    </row>
    <row r="3057" spans="1:1" x14ac:dyDescent="0.25">
      <c r="A3057" s="23"/>
    </row>
    <row r="3058" spans="1:1" x14ac:dyDescent="0.25">
      <c r="A3058" s="23"/>
    </row>
    <row r="3059" spans="1:1" x14ac:dyDescent="0.25">
      <c r="A3059" s="23"/>
    </row>
    <row r="3060" spans="1:1" x14ac:dyDescent="0.25">
      <c r="A3060" s="23"/>
    </row>
    <row r="3061" spans="1:1" x14ac:dyDescent="0.25">
      <c r="A3061" s="23"/>
    </row>
    <row r="3062" spans="1:1" x14ac:dyDescent="0.25">
      <c r="A3062" s="23"/>
    </row>
    <row r="3063" spans="1:1" x14ac:dyDescent="0.25">
      <c r="A3063" s="23"/>
    </row>
    <row r="3064" spans="1:1" x14ac:dyDescent="0.25">
      <c r="A3064" s="23"/>
    </row>
    <row r="3065" spans="1:1" x14ac:dyDescent="0.25">
      <c r="A3065" s="23"/>
    </row>
    <row r="3066" spans="1:1" x14ac:dyDescent="0.25">
      <c r="A3066" s="23"/>
    </row>
    <row r="3067" spans="1:1" x14ac:dyDescent="0.25">
      <c r="A3067" s="23"/>
    </row>
    <row r="3068" spans="1:1" x14ac:dyDescent="0.25">
      <c r="A3068" s="23"/>
    </row>
    <row r="3069" spans="1:1" x14ac:dyDescent="0.25">
      <c r="A3069" s="23"/>
    </row>
    <row r="3070" spans="1:1" x14ac:dyDescent="0.25">
      <c r="A3070" s="23"/>
    </row>
    <row r="3071" spans="1:1" x14ac:dyDescent="0.25">
      <c r="A3071" s="23"/>
    </row>
    <row r="3072" spans="1:1" x14ac:dyDescent="0.25">
      <c r="A3072" s="23"/>
    </row>
    <row r="3073" spans="1:1" x14ac:dyDescent="0.25">
      <c r="A3073" s="23"/>
    </row>
    <row r="3074" spans="1:1" x14ac:dyDescent="0.25">
      <c r="A3074" s="23"/>
    </row>
    <row r="3075" spans="1:1" x14ac:dyDescent="0.25">
      <c r="A3075" s="23"/>
    </row>
    <row r="3076" spans="1:1" x14ac:dyDescent="0.25">
      <c r="A3076" s="23"/>
    </row>
    <row r="3077" spans="1:1" x14ac:dyDescent="0.25">
      <c r="A3077" s="23"/>
    </row>
    <row r="3078" spans="1:1" x14ac:dyDescent="0.25">
      <c r="A3078" s="23"/>
    </row>
    <row r="3079" spans="1:1" x14ac:dyDescent="0.25">
      <c r="A3079" s="23"/>
    </row>
    <row r="3080" spans="1:1" x14ac:dyDescent="0.25">
      <c r="A3080" s="23"/>
    </row>
    <row r="3081" spans="1:1" x14ac:dyDescent="0.25">
      <c r="A3081" s="23"/>
    </row>
    <row r="3082" spans="1:1" x14ac:dyDescent="0.25">
      <c r="A3082" s="23"/>
    </row>
    <row r="3083" spans="1:1" x14ac:dyDescent="0.25">
      <c r="A3083" s="23"/>
    </row>
    <row r="3084" spans="1:1" x14ac:dyDescent="0.25">
      <c r="A3084" s="23"/>
    </row>
    <row r="3085" spans="1:1" x14ac:dyDescent="0.25">
      <c r="A3085" s="23"/>
    </row>
    <row r="3086" spans="1:1" x14ac:dyDescent="0.25">
      <c r="A3086" s="23"/>
    </row>
    <row r="3087" spans="1:1" x14ac:dyDescent="0.25">
      <c r="A3087" s="23"/>
    </row>
    <row r="3088" spans="1:1" x14ac:dyDescent="0.25">
      <c r="A3088" s="23"/>
    </row>
    <row r="3089" spans="1:1" x14ac:dyDescent="0.25">
      <c r="A3089" s="23"/>
    </row>
    <row r="3090" spans="1:1" x14ac:dyDescent="0.25">
      <c r="A3090" s="23"/>
    </row>
    <row r="3091" spans="1:1" x14ac:dyDescent="0.25">
      <c r="A3091" s="23"/>
    </row>
    <row r="3092" spans="1:1" x14ac:dyDescent="0.25">
      <c r="A3092" s="23"/>
    </row>
    <row r="3093" spans="1:1" x14ac:dyDescent="0.25">
      <c r="A3093" s="23"/>
    </row>
    <row r="3094" spans="1:1" x14ac:dyDescent="0.25">
      <c r="A3094" s="23"/>
    </row>
    <row r="3095" spans="1:1" x14ac:dyDescent="0.25">
      <c r="A3095" s="23"/>
    </row>
    <row r="3096" spans="1:1" x14ac:dyDescent="0.25">
      <c r="A3096" s="23"/>
    </row>
    <row r="3097" spans="1:1" x14ac:dyDescent="0.25">
      <c r="A3097" s="23"/>
    </row>
    <row r="3098" spans="1:1" x14ac:dyDescent="0.25">
      <c r="A3098" s="23"/>
    </row>
    <row r="3099" spans="1:1" x14ac:dyDescent="0.25">
      <c r="A3099" s="23"/>
    </row>
    <row r="3100" spans="1:1" x14ac:dyDescent="0.25">
      <c r="A3100" s="23"/>
    </row>
    <row r="3101" spans="1:1" x14ac:dyDescent="0.25">
      <c r="A3101" s="23"/>
    </row>
    <row r="3102" spans="1:1" x14ac:dyDescent="0.25">
      <c r="A3102" s="23"/>
    </row>
    <row r="3103" spans="1:1" x14ac:dyDescent="0.25">
      <c r="A3103" s="23"/>
    </row>
    <row r="3104" spans="1:1" x14ac:dyDescent="0.25">
      <c r="A3104" s="23"/>
    </row>
    <row r="3105" spans="1:1" x14ac:dyDescent="0.25">
      <c r="A3105" s="23"/>
    </row>
    <row r="3106" spans="1:1" x14ac:dyDescent="0.25">
      <c r="A3106" s="23"/>
    </row>
    <row r="3107" spans="1:1" x14ac:dyDescent="0.25">
      <c r="A3107" s="23"/>
    </row>
    <row r="3108" spans="1:1" x14ac:dyDescent="0.25">
      <c r="A3108" s="23"/>
    </row>
    <row r="3109" spans="1:1" x14ac:dyDescent="0.25">
      <c r="A3109" s="23"/>
    </row>
    <row r="3110" spans="1:1" x14ac:dyDescent="0.25">
      <c r="A3110" s="23"/>
    </row>
    <row r="3111" spans="1:1" x14ac:dyDescent="0.25">
      <c r="A3111" s="23"/>
    </row>
    <row r="3112" spans="1:1" x14ac:dyDescent="0.25">
      <c r="A3112" s="23"/>
    </row>
    <row r="3113" spans="1:1" x14ac:dyDescent="0.25">
      <c r="A3113" s="23"/>
    </row>
    <row r="3114" spans="1:1" x14ac:dyDescent="0.25">
      <c r="A3114" s="23"/>
    </row>
    <row r="3115" spans="1:1" x14ac:dyDescent="0.25">
      <c r="A3115" s="23"/>
    </row>
    <row r="3116" spans="1:1" x14ac:dyDescent="0.25">
      <c r="A3116" s="23"/>
    </row>
    <row r="3117" spans="1:1" x14ac:dyDescent="0.25">
      <c r="A3117" s="23"/>
    </row>
    <row r="3118" spans="1:1" x14ac:dyDescent="0.25">
      <c r="A3118" s="23"/>
    </row>
    <row r="3119" spans="1:1" x14ac:dyDescent="0.25">
      <c r="A3119" s="23"/>
    </row>
    <row r="3120" spans="1:1" x14ac:dyDescent="0.25">
      <c r="A3120" s="23"/>
    </row>
    <row r="3121" spans="1:1" x14ac:dyDescent="0.25">
      <c r="A3121" s="23"/>
    </row>
    <row r="3122" spans="1:1" x14ac:dyDescent="0.25">
      <c r="A3122" s="23"/>
    </row>
    <row r="3123" spans="1:1" x14ac:dyDescent="0.25">
      <c r="A3123" s="23"/>
    </row>
    <row r="3124" spans="1:1" x14ac:dyDescent="0.25">
      <c r="A3124" s="23"/>
    </row>
    <row r="3125" spans="1:1" x14ac:dyDescent="0.25">
      <c r="A3125" s="23"/>
    </row>
    <row r="3126" spans="1:1" x14ac:dyDescent="0.25">
      <c r="A3126" s="23"/>
    </row>
    <row r="3127" spans="1:1" x14ac:dyDescent="0.25">
      <c r="A3127" s="23"/>
    </row>
    <row r="3128" spans="1:1" x14ac:dyDescent="0.25">
      <c r="A3128" s="23"/>
    </row>
    <row r="3129" spans="1:1" x14ac:dyDescent="0.25">
      <c r="A3129" s="23"/>
    </row>
    <row r="3130" spans="1:1" x14ac:dyDescent="0.25">
      <c r="A3130" s="23"/>
    </row>
    <row r="3131" spans="1:1" x14ac:dyDescent="0.25">
      <c r="A3131" s="23"/>
    </row>
    <row r="3132" spans="1:1" x14ac:dyDescent="0.25">
      <c r="A3132" s="23"/>
    </row>
    <row r="3133" spans="1:1" x14ac:dyDescent="0.25">
      <c r="A3133" s="23"/>
    </row>
    <row r="3134" spans="1:1" x14ac:dyDescent="0.25">
      <c r="A3134" s="23"/>
    </row>
    <row r="3135" spans="1:1" x14ac:dyDescent="0.25">
      <c r="A3135" s="23"/>
    </row>
    <row r="3136" spans="1:1" x14ac:dyDescent="0.25">
      <c r="A3136" s="23"/>
    </row>
    <row r="3137" spans="1:1" x14ac:dyDescent="0.25">
      <c r="A3137" s="23"/>
    </row>
    <row r="3138" spans="1:1" x14ac:dyDescent="0.25">
      <c r="A3138" s="23"/>
    </row>
    <row r="3139" spans="1:1" x14ac:dyDescent="0.25">
      <c r="A3139" s="23"/>
    </row>
    <row r="3140" spans="1:1" x14ac:dyDescent="0.25">
      <c r="A3140" s="23"/>
    </row>
    <row r="3141" spans="1:1" x14ac:dyDescent="0.25">
      <c r="A3141" s="23"/>
    </row>
    <row r="3142" spans="1:1" x14ac:dyDescent="0.25">
      <c r="A3142" s="23"/>
    </row>
    <row r="3143" spans="1:1" x14ac:dyDescent="0.25">
      <c r="A3143" s="23"/>
    </row>
    <row r="3144" spans="1:1" x14ac:dyDescent="0.25">
      <c r="A3144" s="23"/>
    </row>
    <row r="3145" spans="1:1" x14ac:dyDescent="0.25">
      <c r="A3145" s="23"/>
    </row>
    <row r="3146" spans="1:1" x14ac:dyDescent="0.25">
      <c r="A3146" s="23"/>
    </row>
    <row r="3147" spans="1:1" x14ac:dyDescent="0.25">
      <c r="A3147" s="23"/>
    </row>
    <row r="3148" spans="1:1" x14ac:dyDescent="0.25">
      <c r="A3148" s="23"/>
    </row>
    <row r="3149" spans="1:1" x14ac:dyDescent="0.25">
      <c r="A3149" s="23"/>
    </row>
    <row r="3150" spans="1:1" x14ac:dyDescent="0.25">
      <c r="A3150" s="23"/>
    </row>
    <row r="3151" spans="1:1" x14ac:dyDescent="0.25">
      <c r="A3151" s="23"/>
    </row>
    <row r="3152" spans="1:1" x14ac:dyDescent="0.25">
      <c r="A3152" s="23"/>
    </row>
    <row r="3153" spans="1:1" x14ac:dyDescent="0.25">
      <c r="A3153" s="23"/>
    </row>
    <row r="3154" spans="1:1" x14ac:dyDescent="0.25">
      <c r="A3154" s="23"/>
    </row>
    <row r="3155" spans="1:1" x14ac:dyDescent="0.25">
      <c r="A3155" s="23"/>
    </row>
    <row r="3156" spans="1:1" x14ac:dyDescent="0.25">
      <c r="A3156" s="23"/>
    </row>
    <row r="3157" spans="1:1" x14ac:dyDescent="0.25">
      <c r="A3157" s="23"/>
    </row>
    <row r="3158" spans="1:1" x14ac:dyDescent="0.25">
      <c r="A3158" s="23"/>
    </row>
    <row r="3159" spans="1:1" x14ac:dyDescent="0.25">
      <c r="A3159" s="23"/>
    </row>
    <row r="3160" spans="1:1" x14ac:dyDescent="0.25">
      <c r="A3160" s="23"/>
    </row>
    <row r="3161" spans="1:1" x14ac:dyDescent="0.25">
      <c r="A3161" s="23"/>
    </row>
    <row r="3162" spans="1:1" x14ac:dyDescent="0.25">
      <c r="A3162" s="23"/>
    </row>
    <row r="3163" spans="1:1" x14ac:dyDescent="0.25">
      <c r="A3163" s="23"/>
    </row>
    <row r="3164" spans="1:1" x14ac:dyDescent="0.25">
      <c r="A3164" s="23"/>
    </row>
    <row r="3165" spans="1:1" x14ac:dyDescent="0.25">
      <c r="A3165" s="23"/>
    </row>
    <row r="3166" spans="1:1" x14ac:dyDescent="0.25">
      <c r="A3166" s="23"/>
    </row>
    <row r="3167" spans="1:1" x14ac:dyDescent="0.25">
      <c r="A3167" s="23"/>
    </row>
    <row r="3168" spans="1:1" x14ac:dyDescent="0.25">
      <c r="A3168" s="23"/>
    </row>
    <row r="3169" spans="1:1" x14ac:dyDescent="0.25">
      <c r="A3169" s="23"/>
    </row>
    <row r="3170" spans="1:1" x14ac:dyDescent="0.25">
      <c r="A3170" s="23"/>
    </row>
    <row r="3171" spans="1:1" x14ac:dyDescent="0.25">
      <c r="A3171" s="23"/>
    </row>
    <row r="3172" spans="1:1" x14ac:dyDescent="0.25">
      <c r="A3172" s="23"/>
    </row>
    <row r="3173" spans="1:1" x14ac:dyDescent="0.25">
      <c r="A3173" s="23"/>
    </row>
    <row r="3174" spans="1:1" x14ac:dyDescent="0.25">
      <c r="A3174" s="23"/>
    </row>
    <row r="3175" spans="1:1" x14ac:dyDescent="0.25">
      <c r="A3175" s="23"/>
    </row>
    <row r="3176" spans="1:1" x14ac:dyDescent="0.25">
      <c r="A3176" s="23"/>
    </row>
    <row r="3177" spans="1:1" x14ac:dyDescent="0.25">
      <c r="A3177" s="23"/>
    </row>
    <row r="3178" spans="1:1" x14ac:dyDescent="0.25">
      <c r="A3178" s="23"/>
    </row>
    <row r="3179" spans="1:1" x14ac:dyDescent="0.25">
      <c r="A3179" s="23"/>
    </row>
    <row r="3180" spans="1:1" x14ac:dyDescent="0.25">
      <c r="A3180" s="23"/>
    </row>
    <row r="3181" spans="1:1" x14ac:dyDescent="0.25">
      <c r="A3181" s="23"/>
    </row>
    <row r="3182" spans="1:1" x14ac:dyDescent="0.25">
      <c r="A3182" s="23"/>
    </row>
    <row r="3183" spans="1:1" x14ac:dyDescent="0.25">
      <c r="A3183" s="23"/>
    </row>
    <row r="3184" spans="1:1" x14ac:dyDescent="0.25">
      <c r="A3184" s="23"/>
    </row>
    <row r="3185" spans="1:1" x14ac:dyDescent="0.25">
      <c r="A3185" s="23"/>
    </row>
    <row r="3186" spans="1:1" x14ac:dyDescent="0.25">
      <c r="A3186" s="23"/>
    </row>
    <row r="3187" spans="1:1" x14ac:dyDescent="0.25">
      <c r="A3187" s="23"/>
    </row>
    <row r="3188" spans="1:1" x14ac:dyDescent="0.25">
      <c r="A3188" s="23"/>
    </row>
    <row r="3189" spans="1:1" x14ac:dyDescent="0.25">
      <c r="A3189" s="23"/>
    </row>
    <row r="3190" spans="1:1" x14ac:dyDescent="0.25">
      <c r="A3190" s="23"/>
    </row>
    <row r="3191" spans="1:1" x14ac:dyDescent="0.25">
      <c r="A3191" s="23"/>
    </row>
    <row r="3192" spans="1:1" x14ac:dyDescent="0.25">
      <c r="A3192" s="23"/>
    </row>
    <row r="3193" spans="1:1" x14ac:dyDescent="0.25">
      <c r="A3193" s="23"/>
    </row>
    <row r="3194" spans="1:1" x14ac:dyDescent="0.25">
      <c r="A3194" s="23"/>
    </row>
    <row r="3195" spans="1:1" x14ac:dyDescent="0.25">
      <c r="A3195" s="23"/>
    </row>
    <row r="3196" spans="1:1" x14ac:dyDescent="0.25">
      <c r="A3196" s="23"/>
    </row>
    <row r="3197" spans="1:1" x14ac:dyDescent="0.25">
      <c r="A3197" s="23"/>
    </row>
    <row r="3198" spans="1:1" x14ac:dyDescent="0.25">
      <c r="A3198" s="23"/>
    </row>
    <row r="3199" spans="1:1" x14ac:dyDescent="0.25">
      <c r="A3199" s="23"/>
    </row>
    <row r="3200" spans="1:1" x14ac:dyDescent="0.25">
      <c r="A3200" s="23"/>
    </row>
    <row r="3201" spans="1:1" x14ac:dyDescent="0.25">
      <c r="A3201" s="23"/>
    </row>
    <row r="3202" spans="1:1" x14ac:dyDescent="0.25">
      <c r="A3202" s="23"/>
    </row>
    <row r="3203" spans="1:1" x14ac:dyDescent="0.25">
      <c r="A3203" s="23"/>
    </row>
    <row r="3204" spans="1:1" x14ac:dyDescent="0.25">
      <c r="A3204" s="23"/>
    </row>
    <row r="3205" spans="1:1" x14ac:dyDescent="0.25">
      <c r="A3205" s="23"/>
    </row>
    <row r="3206" spans="1:1" x14ac:dyDescent="0.25">
      <c r="A3206" s="23"/>
    </row>
    <row r="3207" spans="1:1" x14ac:dyDescent="0.25">
      <c r="A3207" s="23"/>
    </row>
    <row r="3208" spans="1:1" x14ac:dyDescent="0.25">
      <c r="A3208" s="23"/>
    </row>
    <row r="3209" spans="1:1" x14ac:dyDescent="0.25">
      <c r="A3209" s="23"/>
    </row>
    <row r="3210" spans="1:1" x14ac:dyDescent="0.25">
      <c r="A3210" s="23"/>
    </row>
    <row r="3211" spans="1:1" x14ac:dyDescent="0.25">
      <c r="A3211" s="23"/>
    </row>
    <row r="3212" spans="1:1" x14ac:dyDescent="0.25">
      <c r="A3212" s="23"/>
    </row>
    <row r="3213" spans="1:1" x14ac:dyDescent="0.25">
      <c r="A3213" s="23"/>
    </row>
    <row r="3214" spans="1:1" x14ac:dyDescent="0.25">
      <c r="A3214" s="23"/>
    </row>
    <row r="3215" spans="1:1" x14ac:dyDescent="0.25">
      <c r="A3215" s="23"/>
    </row>
    <row r="3216" spans="1:1" x14ac:dyDescent="0.25">
      <c r="A3216" s="23"/>
    </row>
    <row r="3217" spans="1:1" x14ac:dyDescent="0.25">
      <c r="A3217" s="23"/>
    </row>
    <row r="3218" spans="1:1" x14ac:dyDescent="0.25">
      <c r="A3218" s="23"/>
    </row>
    <row r="3219" spans="1:1" x14ac:dyDescent="0.25">
      <c r="A3219" s="23"/>
    </row>
    <row r="3220" spans="1:1" x14ac:dyDescent="0.25">
      <c r="A3220" s="23"/>
    </row>
    <row r="3221" spans="1:1" x14ac:dyDescent="0.25">
      <c r="A3221" s="23"/>
    </row>
    <row r="3222" spans="1:1" x14ac:dyDescent="0.25">
      <c r="A3222" s="23"/>
    </row>
    <row r="3223" spans="1:1" x14ac:dyDescent="0.25">
      <c r="A3223" s="23"/>
    </row>
    <row r="3224" spans="1:1" x14ac:dyDescent="0.25">
      <c r="A3224" s="23"/>
    </row>
    <row r="3225" spans="1:1" x14ac:dyDescent="0.25">
      <c r="A3225" s="23"/>
    </row>
    <row r="3226" spans="1:1" x14ac:dyDescent="0.25">
      <c r="A3226" s="23"/>
    </row>
    <row r="3227" spans="1:1" x14ac:dyDescent="0.25">
      <c r="A3227" s="23"/>
    </row>
    <row r="3228" spans="1:1" x14ac:dyDescent="0.25">
      <c r="A3228" s="23"/>
    </row>
    <row r="3229" spans="1:1" x14ac:dyDescent="0.25">
      <c r="A3229" s="23"/>
    </row>
    <row r="3230" spans="1:1" x14ac:dyDescent="0.25">
      <c r="A3230" s="23"/>
    </row>
    <row r="3231" spans="1:1" x14ac:dyDescent="0.25">
      <c r="A3231" s="23"/>
    </row>
    <row r="3232" spans="1:1" x14ac:dyDescent="0.25">
      <c r="A3232" s="23"/>
    </row>
    <row r="3233" spans="1:1" x14ac:dyDescent="0.25">
      <c r="A3233" s="23"/>
    </row>
    <row r="3234" spans="1:1" x14ac:dyDescent="0.25">
      <c r="A3234" s="23"/>
    </row>
    <row r="3235" spans="1:1" x14ac:dyDescent="0.25">
      <c r="A3235" s="23"/>
    </row>
    <row r="3236" spans="1:1" x14ac:dyDescent="0.25">
      <c r="A3236" s="23"/>
    </row>
    <row r="3237" spans="1:1" x14ac:dyDescent="0.25">
      <c r="A3237" s="23"/>
    </row>
    <row r="3238" spans="1:1" x14ac:dyDescent="0.25">
      <c r="A3238" s="23"/>
    </row>
    <row r="3239" spans="1:1" x14ac:dyDescent="0.25">
      <c r="A3239" s="23"/>
    </row>
    <row r="3240" spans="1:1" x14ac:dyDescent="0.25">
      <c r="A3240" s="23"/>
    </row>
    <row r="3241" spans="1:1" x14ac:dyDescent="0.25">
      <c r="A3241" s="23"/>
    </row>
    <row r="3242" spans="1:1" x14ac:dyDescent="0.25">
      <c r="A3242" s="23"/>
    </row>
    <row r="3243" spans="1:1" x14ac:dyDescent="0.25">
      <c r="A3243" s="23"/>
    </row>
    <row r="3244" spans="1:1" x14ac:dyDescent="0.25">
      <c r="A3244" s="23"/>
    </row>
    <row r="3245" spans="1:1" x14ac:dyDescent="0.25">
      <c r="A3245" s="23"/>
    </row>
    <row r="3246" spans="1:1" x14ac:dyDescent="0.25">
      <c r="A3246" s="23"/>
    </row>
    <row r="3247" spans="1:1" x14ac:dyDescent="0.25">
      <c r="A3247" s="23"/>
    </row>
    <row r="3248" spans="1:1" x14ac:dyDescent="0.25">
      <c r="A3248" s="23"/>
    </row>
    <row r="3249" spans="1:1" x14ac:dyDescent="0.25">
      <c r="A3249" s="23"/>
    </row>
    <row r="3250" spans="1:1" x14ac:dyDescent="0.25">
      <c r="A3250" s="23"/>
    </row>
    <row r="3251" spans="1:1" x14ac:dyDescent="0.25">
      <c r="A3251" s="23"/>
    </row>
    <row r="3252" spans="1:1" x14ac:dyDescent="0.25">
      <c r="A3252" s="23"/>
    </row>
    <row r="3253" spans="1:1" x14ac:dyDescent="0.25">
      <c r="A3253" s="23"/>
    </row>
    <row r="3254" spans="1:1" x14ac:dyDescent="0.25">
      <c r="A3254" s="23"/>
    </row>
    <row r="3255" spans="1:1" x14ac:dyDescent="0.25">
      <c r="A3255" s="23"/>
    </row>
    <row r="3256" spans="1:1" x14ac:dyDescent="0.25">
      <c r="A3256" s="23"/>
    </row>
    <row r="3257" spans="1:1" x14ac:dyDescent="0.25">
      <c r="A3257" s="23"/>
    </row>
    <row r="3258" spans="1:1" x14ac:dyDescent="0.25">
      <c r="A3258" s="23"/>
    </row>
    <row r="3259" spans="1:1" x14ac:dyDescent="0.25">
      <c r="A3259" s="23"/>
    </row>
    <row r="3260" spans="1:1" x14ac:dyDescent="0.25">
      <c r="A3260" s="23"/>
    </row>
    <row r="3261" spans="1:1" x14ac:dyDescent="0.25">
      <c r="A3261" s="23"/>
    </row>
    <row r="3262" spans="1:1" x14ac:dyDescent="0.25">
      <c r="A3262" s="23"/>
    </row>
    <row r="3263" spans="1:1" x14ac:dyDescent="0.25">
      <c r="A3263" s="23"/>
    </row>
    <row r="3264" spans="1:1" x14ac:dyDescent="0.25">
      <c r="A3264" s="23"/>
    </row>
    <row r="3265" spans="1:1" x14ac:dyDescent="0.25">
      <c r="A3265" s="23"/>
    </row>
    <row r="3266" spans="1:1" x14ac:dyDescent="0.25">
      <c r="A3266" s="23"/>
    </row>
    <row r="3267" spans="1:1" x14ac:dyDescent="0.25">
      <c r="A3267" s="23"/>
    </row>
    <row r="3268" spans="1:1" x14ac:dyDescent="0.25">
      <c r="A3268" s="23"/>
    </row>
    <row r="3269" spans="1:1" x14ac:dyDescent="0.25">
      <c r="A3269" s="23"/>
    </row>
    <row r="3270" spans="1:1" x14ac:dyDescent="0.25">
      <c r="A3270" s="23"/>
    </row>
    <row r="3271" spans="1:1" x14ac:dyDescent="0.25">
      <c r="A3271" s="23"/>
    </row>
    <row r="3272" spans="1:1" x14ac:dyDescent="0.25">
      <c r="A3272" s="23"/>
    </row>
    <row r="3273" spans="1:1" x14ac:dyDescent="0.25">
      <c r="A3273" s="23"/>
    </row>
    <row r="3274" spans="1:1" x14ac:dyDescent="0.25">
      <c r="A3274" s="23"/>
    </row>
    <row r="3275" spans="1:1" x14ac:dyDescent="0.25">
      <c r="A3275" s="23"/>
    </row>
    <row r="3276" spans="1:1" x14ac:dyDescent="0.25">
      <c r="A3276" s="23"/>
    </row>
    <row r="3277" spans="1:1" x14ac:dyDescent="0.25">
      <c r="A3277" s="23"/>
    </row>
    <row r="3278" spans="1:1" x14ac:dyDescent="0.25">
      <c r="A3278" s="23"/>
    </row>
    <row r="3279" spans="1:1" x14ac:dyDescent="0.25">
      <c r="A3279" s="23"/>
    </row>
    <row r="3280" spans="1:1" x14ac:dyDescent="0.25">
      <c r="A3280" s="23"/>
    </row>
    <row r="3281" spans="1:1" x14ac:dyDescent="0.25">
      <c r="A3281" s="23"/>
    </row>
    <row r="3282" spans="1:1" x14ac:dyDescent="0.25">
      <c r="A3282" s="23"/>
    </row>
    <row r="3283" spans="1:1" x14ac:dyDescent="0.25">
      <c r="A3283" s="23"/>
    </row>
    <row r="3284" spans="1:1" x14ac:dyDescent="0.25">
      <c r="A3284" s="23"/>
    </row>
    <row r="3285" spans="1:1" x14ac:dyDescent="0.25">
      <c r="A3285" s="23"/>
    </row>
    <row r="3286" spans="1:1" x14ac:dyDescent="0.25">
      <c r="A3286" s="23"/>
    </row>
    <row r="3287" spans="1:1" x14ac:dyDescent="0.25">
      <c r="A3287" s="23"/>
    </row>
    <row r="3288" spans="1:1" x14ac:dyDescent="0.25">
      <c r="A3288" s="23"/>
    </row>
    <row r="3289" spans="1:1" x14ac:dyDescent="0.25">
      <c r="A3289" s="23"/>
    </row>
    <row r="3290" spans="1:1" x14ac:dyDescent="0.25">
      <c r="A3290" s="23"/>
    </row>
    <row r="3291" spans="1:1" x14ac:dyDescent="0.25">
      <c r="A3291" s="23"/>
    </row>
    <row r="3292" spans="1:1" x14ac:dyDescent="0.25">
      <c r="A3292" s="23"/>
    </row>
    <row r="3293" spans="1:1" x14ac:dyDescent="0.25">
      <c r="A3293" s="23"/>
    </row>
    <row r="3294" spans="1:1" x14ac:dyDescent="0.25">
      <c r="A3294" s="23"/>
    </row>
    <row r="3295" spans="1:1" x14ac:dyDescent="0.25">
      <c r="A3295" s="23"/>
    </row>
    <row r="3296" spans="1:1" x14ac:dyDescent="0.25">
      <c r="A3296" s="23"/>
    </row>
    <row r="3297" spans="1:1" x14ac:dyDescent="0.25">
      <c r="A3297" s="23"/>
    </row>
    <row r="3298" spans="1:1" x14ac:dyDescent="0.25">
      <c r="A3298" s="23"/>
    </row>
    <row r="3299" spans="1:1" x14ac:dyDescent="0.25">
      <c r="A3299" s="23"/>
    </row>
    <row r="3300" spans="1:1" x14ac:dyDescent="0.25">
      <c r="A3300" s="23"/>
    </row>
    <row r="3301" spans="1:1" x14ac:dyDescent="0.25">
      <c r="A3301" s="23"/>
    </row>
    <row r="3302" spans="1:1" x14ac:dyDescent="0.25">
      <c r="A3302" s="23"/>
    </row>
    <row r="3303" spans="1:1" x14ac:dyDescent="0.25">
      <c r="A3303" s="23"/>
    </row>
    <row r="3304" spans="1:1" x14ac:dyDescent="0.25">
      <c r="A3304" s="23"/>
    </row>
    <row r="3305" spans="1:1" x14ac:dyDescent="0.25">
      <c r="A3305" s="23"/>
    </row>
    <row r="3306" spans="1:1" x14ac:dyDescent="0.25">
      <c r="A3306" s="23"/>
    </row>
    <row r="3307" spans="1:1" x14ac:dyDescent="0.25">
      <c r="A3307" s="23"/>
    </row>
    <row r="3308" spans="1:1" x14ac:dyDescent="0.25">
      <c r="A3308" s="23"/>
    </row>
    <row r="3309" spans="1:1" x14ac:dyDescent="0.25">
      <c r="A3309" s="23"/>
    </row>
    <row r="3310" spans="1:1" x14ac:dyDescent="0.25">
      <c r="A3310" s="23"/>
    </row>
    <row r="3311" spans="1:1" x14ac:dyDescent="0.25">
      <c r="A3311" s="23"/>
    </row>
    <row r="3312" spans="1:1" x14ac:dyDescent="0.25">
      <c r="A3312" s="23"/>
    </row>
    <row r="3313" spans="1:1" x14ac:dyDescent="0.25">
      <c r="A3313" s="23"/>
    </row>
    <row r="3314" spans="1:1" x14ac:dyDescent="0.25">
      <c r="A3314" s="23"/>
    </row>
    <row r="3315" spans="1:1" x14ac:dyDescent="0.25">
      <c r="A3315" s="23"/>
    </row>
    <row r="3316" spans="1:1" x14ac:dyDescent="0.25">
      <c r="A3316" s="23"/>
    </row>
    <row r="3317" spans="1:1" x14ac:dyDescent="0.25">
      <c r="A3317" s="23"/>
    </row>
    <row r="3318" spans="1:1" x14ac:dyDescent="0.25">
      <c r="A3318" s="23"/>
    </row>
    <row r="3319" spans="1:1" x14ac:dyDescent="0.25">
      <c r="A3319" s="23"/>
    </row>
    <row r="3320" spans="1:1" x14ac:dyDescent="0.25">
      <c r="A3320" s="23"/>
    </row>
    <row r="3321" spans="1:1" x14ac:dyDescent="0.25">
      <c r="A3321" s="23"/>
    </row>
    <row r="3322" spans="1:1" x14ac:dyDescent="0.25">
      <c r="A3322" s="23"/>
    </row>
    <row r="3323" spans="1:1" x14ac:dyDescent="0.25">
      <c r="A3323" s="23"/>
    </row>
    <row r="3324" spans="1:1" x14ac:dyDescent="0.25">
      <c r="A3324" s="23"/>
    </row>
    <row r="3325" spans="1:1" x14ac:dyDescent="0.25">
      <c r="A3325" s="23"/>
    </row>
    <row r="3326" spans="1:1" x14ac:dyDescent="0.25">
      <c r="A3326" s="23"/>
    </row>
    <row r="3327" spans="1:1" x14ac:dyDescent="0.25">
      <c r="A3327" s="23"/>
    </row>
    <row r="3328" spans="1:1" x14ac:dyDescent="0.25">
      <c r="A3328" s="23"/>
    </row>
    <row r="3329" spans="1:1" x14ac:dyDescent="0.25">
      <c r="A3329" s="23"/>
    </row>
    <row r="3330" spans="1:1" x14ac:dyDescent="0.25">
      <c r="A3330" s="23"/>
    </row>
    <row r="3331" spans="1:1" x14ac:dyDescent="0.25">
      <c r="A3331" s="23"/>
    </row>
    <row r="3332" spans="1:1" x14ac:dyDescent="0.25">
      <c r="A3332" s="23"/>
    </row>
    <row r="3333" spans="1:1" x14ac:dyDescent="0.25">
      <c r="A3333" s="23"/>
    </row>
    <row r="3334" spans="1:1" x14ac:dyDescent="0.25">
      <c r="A3334" s="23"/>
    </row>
    <row r="3335" spans="1:1" x14ac:dyDescent="0.25">
      <c r="A3335" s="23"/>
    </row>
    <row r="3336" spans="1:1" x14ac:dyDescent="0.25">
      <c r="A3336" s="23"/>
    </row>
    <row r="3337" spans="1:1" x14ac:dyDescent="0.25">
      <c r="A3337" s="23"/>
    </row>
    <row r="3338" spans="1:1" x14ac:dyDescent="0.25">
      <c r="A3338" s="23"/>
    </row>
    <row r="3339" spans="1:1" x14ac:dyDescent="0.25">
      <c r="A3339" s="23"/>
    </row>
    <row r="3340" spans="1:1" x14ac:dyDescent="0.25">
      <c r="A3340" s="23"/>
    </row>
    <row r="3341" spans="1:1" x14ac:dyDescent="0.25">
      <c r="A3341" s="23"/>
    </row>
    <row r="3342" spans="1:1" x14ac:dyDescent="0.25">
      <c r="A3342" s="23"/>
    </row>
    <row r="3343" spans="1:1" x14ac:dyDescent="0.25">
      <c r="A3343" s="23"/>
    </row>
    <row r="3344" spans="1:1" x14ac:dyDescent="0.25">
      <c r="A3344" s="23"/>
    </row>
    <row r="3345" spans="1:1" x14ac:dyDescent="0.25">
      <c r="A3345" s="23"/>
    </row>
    <row r="3346" spans="1:1" x14ac:dyDescent="0.25">
      <c r="A3346" s="23"/>
    </row>
    <row r="3347" spans="1:1" x14ac:dyDescent="0.25">
      <c r="A3347" s="23"/>
    </row>
    <row r="3348" spans="1:1" x14ac:dyDescent="0.25">
      <c r="A3348" s="23"/>
    </row>
    <row r="3349" spans="1:1" x14ac:dyDescent="0.25">
      <c r="A3349" s="23"/>
    </row>
    <row r="3350" spans="1:1" x14ac:dyDescent="0.25">
      <c r="A3350" s="23"/>
    </row>
    <row r="3351" spans="1:1" x14ac:dyDescent="0.25">
      <c r="A3351" s="23"/>
    </row>
    <row r="3352" spans="1:1" x14ac:dyDescent="0.25">
      <c r="A3352" s="23"/>
    </row>
    <row r="3353" spans="1:1" x14ac:dyDescent="0.25">
      <c r="A3353" s="23"/>
    </row>
    <row r="3354" spans="1:1" x14ac:dyDescent="0.25">
      <c r="A3354" s="23"/>
    </row>
    <row r="3355" spans="1:1" x14ac:dyDescent="0.25">
      <c r="A3355" s="23"/>
    </row>
    <row r="3356" spans="1:1" x14ac:dyDescent="0.25">
      <c r="A3356" s="23"/>
    </row>
    <row r="3357" spans="1:1" x14ac:dyDescent="0.25">
      <c r="A3357" s="23"/>
    </row>
    <row r="3358" spans="1:1" x14ac:dyDescent="0.25">
      <c r="A3358" s="23"/>
    </row>
    <row r="3359" spans="1:1" x14ac:dyDescent="0.25">
      <c r="A3359" s="23"/>
    </row>
    <row r="3360" spans="1:1" x14ac:dyDescent="0.25">
      <c r="A3360" s="23"/>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35FBD-A4FA-4763-A222-51BE3DABC254}">
  <dimension ref="A1:Z501"/>
  <sheetViews>
    <sheetView zoomScale="80" zoomScaleNormal="80" workbookViewId="0">
      <selection activeCell="D16" sqref="D16"/>
    </sheetView>
  </sheetViews>
  <sheetFormatPr defaultColWidth="8.85546875" defaultRowHeight="15" x14ac:dyDescent="0.25"/>
  <cols>
    <col min="1" max="1" width="4.42578125" style="2" bestFit="1" customWidth="1"/>
    <col min="2" max="2" width="12.140625" style="21" bestFit="1" customWidth="1"/>
    <col min="3" max="3" width="23.140625" style="21" customWidth="1"/>
    <col min="4" max="4" width="22.140625" style="21" customWidth="1"/>
    <col min="5" max="5" width="11.7109375" style="21" bestFit="1" customWidth="1"/>
    <col min="6" max="6" width="10" style="21" bestFit="1" customWidth="1"/>
    <col min="7" max="7" width="13" style="26" customWidth="1"/>
    <col min="8" max="8" width="13.7109375" style="26" bestFit="1" customWidth="1"/>
    <col min="9" max="9" width="9.5703125" style="26" bestFit="1" customWidth="1"/>
    <col min="10" max="10" width="13" style="26" bestFit="1" customWidth="1"/>
    <col min="11" max="11" width="13.7109375" style="26" bestFit="1" customWidth="1"/>
    <col min="12" max="12" width="13" style="26" bestFit="1" customWidth="1"/>
    <col min="13" max="15" width="10.7109375" style="26" bestFit="1" customWidth="1"/>
    <col min="16" max="16" width="12.140625" style="26" bestFit="1" customWidth="1"/>
    <col min="17" max="17" width="12.42578125" style="26" bestFit="1" customWidth="1"/>
    <col min="18" max="18" width="12.140625" style="26" bestFit="1" customWidth="1"/>
    <col min="19" max="19" width="10.7109375" style="26" bestFit="1" customWidth="1"/>
    <col min="20" max="20" width="9.28515625" style="26" bestFit="1" customWidth="1"/>
    <col min="21" max="26" width="12.140625" style="26" bestFit="1" customWidth="1"/>
    <col min="27" max="16384" width="8.85546875" style="21"/>
  </cols>
  <sheetData>
    <row r="1" spans="1:26" s="33" customFormat="1" ht="15.75" x14ac:dyDescent="0.25">
      <c r="B1" s="33" t="s">
        <v>39</v>
      </c>
      <c r="C1" s="33" t="s">
        <v>40</v>
      </c>
      <c r="D1" s="33" t="s">
        <v>41</v>
      </c>
      <c r="E1" s="33" t="s">
        <v>53</v>
      </c>
      <c r="F1" s="33" t="s">
        <v>42</v>
      </c>
      <c r="G1" s="33" t="s">
        <v>44</v>
      </c>
      <c r="H1" s="33" t="s">
        <v>48</v>
      </c>
      <c r="I1" s="33" t="s">
        <v>45</v>
      </c>
      <c r="J1" s="33" t="s">
        <v>49</v>
      </c>
      <c r="K1" s="33" t="s">
        <v>50</v>
      </c>
      <c r="L1" s="33" t="s">
        <v>51</v>
      </c>
      <c r="M1" s="33" t="s">
        <v>54</v>
      </c>
      <c r="N1" s="33" t="s">
        <v>55</v>
      </c>
      <c r="O1" s="33" t="s">
        <v>56</v>
      </c>
      <c r="P1" s="33" t="s">
        <v>57</v>
      </c>
      <c r="Q1" s="33" t="s">
        <v>58</v>
      </c>
      <c r="R1" s="33" t="s">
        <v>59</v>
      </c>
      <c r="S1" s="33" t="s">
        <v>52</v>
      </c>
      <c r="T1" s="33" t="s">
        <v>47</v>
      </c>
      <c r="U1" s="33" t="s">
        <v>60</v>
      </c>
      <c r="V1" s="33" t="s">
        <v>61</v>
      </c>
      <c r="W1" s="33" t="s">
        <v>62</v>
      </c>
      <c r="X1" s="33" t="s">
        <v>63</v>
      </c>
      <c r="Y1" s="33" t="s">
        <v>64</v>
      </c>
      <c r="Z1" s="33" t="s">
        <v>65</v>
      </c>
    </row>
    <row r="2" spans="1:26" x14ac:dyDescent="0.25">
      <c r="A2" s="2">
        <v>1</v>
      </c>
      <c r="B2" s="27" t="str">
        <f>IF((ROW()-1)&lt;=RoverStations,'Rover CSV Data'!B2,"")</f>
        <v/>
      </c>
      <c r="C2" s="28" t="str">
        <f>IF($B2="","",DATEVALUE(LEFT('Rover CSV Data'!F2,FIND(" ",'Rover CSV Data'!F2)-1))+TIMEVALUE(MID('Rover CSV Data'!F2,LEN('Rover CSV Data'!F2)-FIND(" ",'Rover CSV Data'!F2),(FIND(" UTC",'Rover CSV Data'!F2))-(LEN('Rover CSV Data'!F2)-FIND(" ",'Rover CSV Data'!F2)))))</f>
        <v/>
      </c>
      <c r="D2" s="28" t="str">
        <f>IF($B2="","",DATEVALUE(LEFT('Rover CSV Data'!G2,FIND(" ",'Rover CSV Data'!G2)-1))+TIMEVALUE(MID('Rover CSV Data'!G2,LEN('Rover CSV Data'!G2)-FIND(" ",'Rover CSV Data'!G2),(FIND(" UTC",'Rover CSV Data'!G2))-(LEN('Rover CSV Data'!G2)-FIND(" ",'Rover CSV Data'!G2)))))</f>
        <v/>
      </c>
      <c r="E2" s="29" t="str">
        <f t="shared" ref="E2:E9" si="0">IF($B2="","",CONVERT(D2-C2,"day","sec"))</f>
        <v/>
      </c>
      <c r="F2" s="26" t="str">
        <f>IF($B2="","",'Rover CSV Data'!J2)</f>
        <v/>
      </c>
      <c r="G2" s="26" t="str">
        <f>IF($B2="","",AVERAGEIFS(POS_Lat,POS_Time,"&gt;="&amp;($C2+CONVERT(Variables!$C$12,"sec","day")),POS_Time,"&lt;="&amp;($D2-CONVERT(Variables!$C$12+1,"sec","day")),POS_Q,"&lt;="&amp;Variables!$C$11))</f>
        <v/>
      </c>
      <c r="H2" s="26" t="str">
        <f>IF($B2="","",AVERAGEIFS(POS_Long,POS_Time,"&gt;="&amp;($C2+CONVERT(Variables!$C$12,"sec","day")),POS_Time,"&lt;="&amp;($D2-CONVERT(Variables!$C$12+1,"sec","day")),POS_Q,"&lt;="&amp;Variables!$C$11))</f>
        <v/>
      </c>
      <c r="I2" s="30" t="str">
        <f>IF($B2="","",AVERAGEIFS(POS_elev,POS_Time,"&gt;="&amp;($C2+CONVERT(Variables!$C$12,"sec","day")),POS_Time,"&lt;="&amp;($D2-CONVERT(Variables!$C$12+1,"sec","day")),POS_Q,"&lt;="&amp;Variables!$C$11)-S2)</f>
        <v/>
      </c>
      <c r="J2" s="26" t="str">
        <f>IF($B2="","",'Rover CSV Data'!D2)</f>
        <v/>
      </c>
      <c r="K2" s="26" t="str">
        <f>IF($B2="","",'Rover CSV Data'!C2)</f>
        <v/>
      </c>
      <c r="L2" s="26" t="str">
        <f>IF($B2="","",'Rover CSV Data'!E2)</f>
        <v/>
      </c>
      <c r="M2" s="31" t="str">
        <f>IF($B2="","",AVERAGEIFS(sdn,POS_Time,"&gt;="&amp;($C2+CONVERT(Variables!$C$12,"sec","day")),POS_Time,"&lt;="&amp;($D2-CONVERT(Variables!$C$12+1,"sec","day")),POS_Q,"&lt;="&amp;Variables!$C$11))</f>
        <v/>
      </c>
      <c r="N2" s="31" t="str">
        <f>IF($B2="","",AVERAGEIFS(sde,POS_Time,"&gt;="&amp;($C2+CONVERT(Variables!$C$12,"sec","day")),POS_Time,"&lt;="&amp;($D2-CONVERT(Variables!$C$12+1,"sec","day")),POS_Q,"&lt;="&amp;Variables!$C$11))</f>
        <v/>
      </c>
      <c r="O2" s="31" t="str">
        <f>IF($B2="","",AVERAGEIFS(sdu,POS_Time,"&gt;="&amp;($C2+CONVERT(Variables!$C$12,"sec","day")),POS_Time,"&lt;="&amp;($D2-CONVERT(Variables!$C$12+1,"sec","day")),POS_Q,"&lt;="&amp;Variables!$C$11))</f>
        <v/>
      </c>
      <c r="P2" s="32" t="str">
        <f t="array" ref="P2">IF($B2="","",STDEV(IF(POS_Time&gt;=($C2+CONVERT(Variables!$C$12,"sec","day")),IF(POS_Time&lt;=($D2-CONVERT(Variables!$C$12+1,"sec","day")),IF(POS_Q&lt;=Variables!$C$11,POS_Lat)))))</f>
        <v/>
      </c>
      <c r="Q2" s="32" t="str">
        <f t="array" ref="Q2">IF($B2="","",STDEV(IF(POS_Time&gt;=($C2+CONVERT(Variables!$C$12,"sec","day")),IF(POS_Time&lt;=($D2-CONVERT(Variables!$C$12+1,"sec","day")),IF(POS_Q&lt;=Variables!$C$11,POS_Long)))))</f>
        <v/>
      </c>
      <c r="R2" s="32" t="str">
        <f t="array" ref="R2">IF($B2="","",STDEV(IF(POS_Time&gt;=($C2+CONVERT(Variables!$C$12,"sec","day")),IF(POS_Time&lt;=($D2-CONVERT(Variables!$C$12+1,"sec","day")),IF(POS_Q&lt;=Variables!$C$11,POS_elev)))))</f>
        <v/>
      </c>
      <c r="S2" s="30" t="str">
        <f>IF($B2="","",'Rover CSV Data'!K2)</f>
        <v/>
      </c>
      <c r="T2" s="26" t="str">
        <f>IF($B2="","",COUNTIFS(POS_Time,"&gt;="&amp;($C2+CONVERT(Variables!$C$12,"sec","day")),POS_Time,"&lt;="&amp;($D2-CONVERT(Variables!$C$12+1,"sec","day")),POS_Q,"&lt;="&amp;Variables!$C$11))</f>
        <v/>
      </c>
      <c r="U2" s="26" t="str">
        <f>IF($B2="","",IF(1&gt;Variables!$C$11,0,COUNTIFS(POS_Time,"&gt;="&amp;($C2+CONVERT(Variables!$C$12,"sec","day")),POS_Time,"&lt;="&amp;($D2-CONVERT(Variables!$C$12+1,"sec","day")),POS_Q,"=1")))</f>
        <v/>
      </c>
      <c r="V2" s="26" t="str">
        <f>IF($B2="","",IF(2&gt;Variables!$C$11,0,COUNTIFS(POS_Time,"&gt;="&amp;($C2+CONVERT(Variables!$C$12,"sec","day")),POS_Time,"&lt;="&amp;($D2-CONVERT(Variables!$C$12+1,"sec","day")),POS_Q,"=2")))</f>
        <v/>
      </c>
      <c r="W2" s="26" t="str">
        <f>IF($B2="","",IF(3&gt;Variables!$C$11,0,COUNTIFS(POS_Time,"&gt;="&amp;($C2+CONVERT(Variables!$C$12,"sec","day")),POS_Time,"&lt;="&amp;($D2-CONVERT(Variables!$C$12+1,"sec","day")),POS_Q,"=3")))</f>
        <v/>
      </c>
      <c r="X2" s="26" t="str">
        <f>IF($B2="","",IF(4&gt;Variables!$C$11,0,COUNTIFS(POS_Time,"&gt;="&amp;($C2+CONVERT(Variables!$C$12,"sec","day")),POS_Time,"&lt;="&amp;($D2-CONVERT(Variables!$C$12+1,"sec","day")),POS_Q,"=4")))</f>
        <v/>
      </c>
      <c r="Y2" s="26" t="str">
        <f>IF($B2="","",IF(5&gt;Variables!$C$11,0,COUNTIFS(POS_Time,"&gt;="&amp;($C2+CONVERT(Variables!$C$12,"sec","day")),POS_Time,"&lt;="&amp;($D2-CONVERT(Variables!$C$12+1,"sec","day")),POS_Q,"=5")))</f>
        <v/>
      </c>
      <c r="Z2" s="26" t="str">
        <f>IF($B2="","",IF(6&gt;Variables!$C$11,0,COUNTIFS(POS_Time,"&gt;="&amp;($C2+CONVERT(Variables!$C$12,"sec","day")),POS_Time,"&lt;="&amp;($D2-CONVERT(Variables!$C$12+1,"sec","day")),POS_Q,"=6")))</f>
        <v/>
      </c>
    </row>
    <row r="3" spans="1:26" x14ac:dyDescent="0.25">
      <c r="A3" s="2">
        <v>2</v>
      </c>
      <c r="B3" s="27" t="str">
        <f>IF((ROW()-1)&lt;=RoverStations,'Rover CSV Data'!B3,"")</f>
        <v/>
      </c>
      <c r="C3" s="28" t="str">
        <f>IF($B3="","",DATEVALUE(LEFT('Rover CSV Data'!F3,FIND(" ",'Rover CSV Data'!F3)-1))+TIMEVALUE(MID('Rover CSV Data'!F3,LEN('Rover CSV Data'!F3)-FIND(" ",'Rover CSV Data'!F3),(FIND(" UTC",'Rover CSV Data'!F3))-(LEN('Rover CSV Data'!F3)-FIND(" ",'Rover CSV Data'!F3)))))</f>
        <v/>
      </c>
      <c r="D3" s="28" t="str">
        <f>IF($B3="","",DATEVALUE(LEFT('Rover CSV Data'!G3,FIND(" ",'Rover CSV Data'!G3)-1))+TIMEVALUE(MID('Rover CSV Data'!G3,LEN('Rover CSV Data'!G3)-FIND(" ",'Rover CSV Data'!G3),(FIND(" UTC",'Rover CSV Data'!G3))-(LEN('Rover CSV Data'!G3)-FIND(" ",'Rover CSV Data'!G3)))))</f>
        <v/>
      </c>
      <c r="E3" s="29" t="str">
        <f t="shared" si="0"/>
        <v/>
      </c>
      <c r="F3" s="26" t="str">
        <f>IF($B3="","",'Rover CSV Data'!J3)</f>
        <v/>
      </c>
      <c r="G3" s="26" t="str">
        <f>IF($B3="","",AVERAGEIFS(POS_Lat,POS_Time,"&gt;="&amp;($C3+CONVERT(Variables!$C$12,"sec","day")),POS_Time,"&lt;="&amp;($D3-CONVERT(Variables!$C$12+1,"sec","day")),POS_Q,"&lt;="&amp;Variables!$C$11))</f>
        <v/>
      </c>
      <c r="H3" s="26" t="str">
        <f>IF($B3="","",AVERAGEIFS(POS_Long,POS_Time,"&gt;="&amp;($C3+CONVERT(Variables!$C$12,"sec","day")),POS_Time,"&lt;="&amp;($D3-CONVERT(Variables!$C$12+1,"sec","day")),POS_Q,"&lt;="&amp;Variables!$C$11))</f>
        <v/>
      </c>
      <c r="I3" s="30" t="str">
        <f>IF($B3="","",AVERAGEIFS(POS_elev,POS_Time,"&gt;="&amp;($C3+CONVERT(Variables!$C$12,"sec","day")),POS_Time,"&lt;="&amp;($D3-CONVERT(Variables!$C$12+1,"sec","day")),POS_Q,"&lt;="&amp;Variables!$C$11)-S3)</f>
        <v/>
      </c>
      <c r="J3" s="26" t="str">
        <f>IF($B3="","",'Rover CSV Data'!D3)</f>
        <v/>
      </c>
      <c r="K3" s="26" t="str">
        <f>IF($B3="","",'Rover CSV Data'!C3)</f>
        <v/>
      </c>
      <c r="L3" s="26" t="str">
        <f>IF($B3="","",'Rover CSV Data'!E3)</f>
        <v/>
      </c>
      <c r="M3" s="31" t="str">
        <f>IF($B3="","",AVERAGEIFS(sdn,POS_Time,"&gt;="&amp;($C3+CONVERT(Variables!$C$12,"sec","day")),POS_Time,"&lt;="&amp;($D3-CONVERT(Variables!$C$12+1,"sec","day")),POS_Q,"&lt;="&amp;Variables!$C$11))</f>
        <v/>
      </c>
      <c r="N3" s="31" t="str">
        <f>IF($B3="","",AVERAGEIFS(sde,POS_Time,"&gt;="&amp;($C3+CONVERT(Variables!$C$12,"sec","day")),POS_Time,"&lt;="&amp;($D3-CONVERT(Variables!$C$12+1,"sec","day")),POS_Q,"&lt;="&amp;Variables!$C$11))</f>
        <v/>
      </c>
      <c r="O3" s="31" t="str">
        <f>IF($B3="","",AVERAGEIFS(sdu,POS_Time,"&gt;="&amp;($C3+CONVERT(Variables!$C$12,"sec","day")),POS_Time,"&lt;="&amp;($D3-CONVERT(Variables!$C$12+1,"sec","day")),POS_Q,"&lt;="&amp;Variables!$C$11))</f>
        <v/>
      </c>
      <c r="P3" s="32" t="str">
        <f t="array" ref="P3">IF($B3="","",STDEV(IF(POS_Time&gt;=($C3+CONVERT(Variables!$C$12,"sec","day")),IF(POS_Time&lt;=($D3-CONVERT(Variables!$C$12+1,"sec","day")),IF(POS_Q&lt;=Variables!$C$11,POS_Lat)))))</f>
        <v/>
      </c>
      <c r="Q3" s="32" t="str">
        <f t="array" ref="Q3">IF($B3="","",STDEV(IF(POS_Time&gt;=($C3+CONVERT(Variables!$C$12,"sec","day")),IF(POS_Time&lt;=($D3-CONVERT(Variables!$C$12+1,"sec","day")),IF(POS_Q&lt;=Variables!$C$11,POS_Long)))))</f>
        <v/>
      </c>
      <c r="R3" s="32" t="str">
        <f t="array" ref="R3">IF($B3="","",STDEV(IF(POS_Time&gt;=($C3+CONVERT(Variables!$C$12,"sec","day")),IF(POS_Time&lt;=($D3-CONVERT(Variables!$C$12+1,"sec","day")),IF(POS_Q&lt;=Variables!$C$11,POS_elev)))))</f>
        <v/>
      </c>
      <c r="S3" s="30" t="str">
        <f>IF($B3="","",'Rover CSV Data'!K3)</f>
        <v/>
      </c>
      <c r="T3" s="26" t="str">
        <f>IF($B3="","",COUNTIFS(POS_Time,"&gt;="&amp;($C3+CONVERT(Variables!$C$12,"sec","day")),POS_Time,"&lt;="&amp;($D3-CONVERT(Variables!$C$12+1,"sec","day")),POS_Q,"&lt;="&amp;Variables!$C$11))</f>
        <v/>
      </c>
      <c r="U3" s="26" t="str">
        <f>IF($B3="","",IF(1&gt;Variables!$C$11,0,COUNTIFS(POS_Time,"&gt;="&amp;($C3+CONVERT(Variables!$C$12,"sec","day")),POS_Time,"&lt;="&amp;($D3-CONVERT(Variables!$C$12+1,"sec","day")),POS_Q,"=1")))</f>
        <v/>
      </c>
      <c r="V3" s="26" t="str">
        <f>IF($B3="","",IF(2&gt;Variables!$C$11,0,COUNTIFS(POS_Time,"&gt;="&amp;($C3+CONVERT(Variables!$C$12,"sec","day")),POS_Time,"&lt;="&amp;($D3-CONVERT(Variables!$C$12+1,"sec","day")),POS_Q,"=2")))</f>
        <v/>
      </c>
      <c r="W3" s="26" t="str">
        <f>IF($B3="","",IF(3&gt;Variables!$C$11,0,COUNTIFS(POS_Time,"&gt;="&amp;($C3+CONVERT(Variables!$C$12,"sec","day")),POS_Time,"&lt;="&amp;($D3-CONVERT(Variables!$C$12+1,"sec","day")),POS_Q,"=3")))</f>
        <v/>
      </c>
      <c r="X3" s="26" t="str">
        <f>IF($B3="","",IF(4&gt;Variables!$C$11,0,COUNTIFS(POS_Time,"&gt;="&amp;($C3+CONVERT(Variables!$C$12,"sec","day")),POS_Time,"&lt;="&amp;($D3-CONVERT(Variables!$C$12+1,"sec","day")),POS_Q,"=4")))</f>
        <v/>
      </c>
      <c r="Y3" s="26" t="str">
        <f>IF($B3="","",IF(5&gt;Variables!$C$11,0,COUNTIFS(POS_Time,"&gt;="&amp;($C3+CONVERT(Variables!$C$12,"sec","day")),POS_Time,"&lt;="&amp;($D3-CONVERT(Variables!$C$12+1,"sec","day")),POS_Q,"=5")))</f>
        <v/>
      </c>
      <c r="Z3" s="26" t="str">
        <f>IF($B3="","",IF(6&gt;Variables!$C$11,0,COUNTIFS(POS_Time,"&gt;="&amp;($C3+CONVERT(Variables!$C$12,"sec","day")),POS_Time,"&lt;="&amp;($D3-CONVERT(Variables!$C$12+1,"sec","day")),POS_Q,"=6")))</f>
        <v/>
      </c>
    </row>
    <row r="4" spans="1:26" x14ac:dyDescent="0.25">
      <c r="A4" s="2">
        <v>3</v>
      </c>
      <c r="B4" s="27" t="str">
        <f>IF((ROW()-1)&lt;=RoverStations,'Rover CSV Data'!B4,"")</f>
        <v/>
      </c>
      <c r="C4" s="28" t="str">
        <f>IF($B4="","",DATEVALUE(LEFT('Rover CSV Data'!F4,FIND(" ",'Rover CSV Data'!F4)-1))+TIMEVALUE(MID('Rover CSV Data'!F4,LEN('Rover CSV Data'!F4)-FIND(" ",'Rover CSV Data'!F4),(FIND(" UTC",'Rover CSV Data'!F4))-(LEN('Rover CSV Data'!F4)-FIND(" ",'Rover CSV Data'!F4)))))</f>
        <v/>
      </c>
      <c r="D4" s="28" t="str">
        <f>IF($B4="","",DATEVALUE(LEFT('Rover CSV Data'!G4,FIND(" ",'Rover CSV Data'!G4)-1))+TIMEVALUE(MID('Rover CSV Data'!G4,LEN('Rover CSV Data'!G4)-FIND(" ",'Rover CSV Data'!G4),(FIND(" UTC",'Rover CSV Data'!G4))-(LEN('Rover CSV Data'!G4)-FIND(" ",'Rover CSV Data'!G4)))))</f>
        <v/>
      </c>
      <c r="E4" s="29" t="str">
        <f t="shared" si="0"/>
        <v/>
      </c>
      <c r="F4" s="26" t="str">
        <f>IF($B4="","",'Rover CSV Data'!J4)</f>
        <v/>
      </c>
      <c r="G4" s="26" t="str">
        <f>IF($B4="","",AVERAGEIFS(POS_Lat,POS_Time,"&gt;="&amp;($C4+CONVERT(Variables!$C$12,"sec","day")),POS_Time,"&lt;="&amp;($D4-CONVERT(Variables!$C$12+1,"sec","day")),POS_Q,"&lt;="&amp;Variables!$C$11))</f>
        <v/>
      </c>
      <c r="H4" s="26" t="str">
        <f>IF($B4="","",AVERAGEIFS(POS_Long,POS_Time,"&gt;="&amp;($C4+CONVERT(Variables!$C$12,"sec","day")),POS_Time,"&lt;="&amp;($D4-CONVERT(Variables!$C$12+1,"sec","day")),POS_Q,"&lt;="&amp;Variables!$C$11))</f>
        <v/>
      </c>
      <c r="I4" s="30" t="str">
        <f>IF($B4="","",AVERAGEIFS(POS_elev,POS_Time,"&gt;="&amp;($C4+CONVERT(Variables!$C$12,"sec","day")),POS_Time,"&lt;="&amp;($D4-CONVERT(Variables!$C$12+1,"sec","day")),POS_Q,"&lt;="&amp;Variables!$C$11)-S4)</f>
        <v/>
      </c>
      <c r="J4" s="26" t="str">
        <f>IF($B4="","",'Rover CSV Data'!D4)</f>
        <v/>
      </c>
      <c r="K4" s="26" t="str">
        <f>IF($B4="","",'Rover CSV Data'!C4)</f>
        <v/>
      </c>
      <c r="L4" s="26" t="str">
        <f>IF($B4="","",'Rover CSV Data'!E4)</f>
        <v/>
      </c>
      <c r="M4" s="31" t="str">
        <f>IF($B4="","",AVERAGEIFS(sdn,POS_Time,"&gt;="&amp;($C4+CONVERT(Variables!$C$12,"sec","day")),POS_Time,"&lt;="&amp;($D4-CONVERT(Variables!$C$12+1,"sec","day")),POS_Q,"&lt;="&amp;Variables!$C$11))</f>
        <v/>
      </c>
      <c r="N4" s="31" t="str">
        <f>IF($B4="","",AVERAGEIFS(sde,POS_Time,"&gt;="&amp;($C4+CONVERT(Variables!$C$12,"sec","day")),POS_Time,"&lt;="&amp;($D4-CONVERT(Variables!$C$12+1,"sec","day")),POS_Q,"&lt;="&amp;Variables!$C$11))</f>
        <v/>
      </c>
      <c r="O4" s="31" t="str">
        <f>IF($B4="","",AVERAGEIFS(sdu,POS_Time,"&gt;="&amp;($C4+CONVERT(Variables!$C$12,"sec","day")),POS_Time,"&lt;="&amp;($D4-CONVERT(Variables!$C$12+1,"sec","day")),POS_Q,"&lt;="&amp;Variables!$C$11))</f>
        <v/>
      </c>
      <c r="P4" s="32" t="str">
        <f t="array" ref="P4">IF($B4="","",STDEV(IF(POS_Time&gt;=($C4+CONVERT(Variables!$C$12,"sec","day")),IF(POS_Time&lt;=($D4-CONVERT(Variables!$C$12+1,"sec","day")),IF(POS_Q&lt;=Variables!$C$11,POS_Lat)))))</f>
        <v/>
      </c>
      <c r="Q4" s="32" t="str">
        <f t="array" ref="Q4">IF($B4="","",STDEV(IF(POS_Time&gt;=($C4+CONVERT(Variables!$C$12,"sec","day")),IF(POS_Time&lt;=($D4-CONVERT(Variables!$C$12+1,"sec","day")),IF(POS_Q&lt;=Variables!$C$11,POS_Long)))))</f>
        <v/>
      </c>
      <c r="R4" s="32" t="str">
        <f t="array" ref="R4">IF($B4="","",STDEV(IF(POS_Time&gt;=($C4+CONVERT(Variables!$C$12,"sec","day")),IF(POS_Time&lt;=($D4-CONVERT(Variables!$C$12+1,"sec","day")),IF(POS_Q&lt;=Variables!$C$11,POS_elev)))))</f>
        <v/>
      </c>
      <c r="S4" s="30" t="str">
        <f>IF($B4="","",'Rover CSV Data'!K4)</f>
        <v/>
      </c>
      <c r="T4" s="26" t="str">
        <f>IF($B4="","",COUNTIFS(POS_Time,"&gt;="&amp;($C4+CONVERT(Variables!$C$12,"sec","day")),POS_Time,"&lt;="&amp;($D4-CONVERT(Variables!$C$12+1,"sec","day")),POS_Q,"&lt;="&amp;Variables!$C$11))</f>
        <v/>
      </c>
      <c r="U4" s="26" t="str">
        <f>IF($B4="","",IF(1&gt;Variables!$C$11,0,COUNTIFS(POS_Time,"&gt;="&amp;($C4+CONVERT(Variables!$C$12,"sec","day")),POS_Time,"&lt;="&amp;($D4-CONVERT(Variables!$C$12+1,"sec","day")),POS_Q,"=1")))</f>
        <v/>
      </c>
      <c r="V4" s="26" t="str">
        <f>IF($B4="","",IF(2&gt;Variables!$C$11,0,COUNTIFS(POS_Time,"&gt;="&amp;($C4+CONVERT(Variables!$C$12,"sec","day")),POS_Time,"&lt;="&amp;($D4-CONVERT(Variables!$C$12+1,"sec","day")),POS_Q,"=2")))</f>
        <v/>
      </c>
      <c r="W4" s="26" t="str">
        <f>IF($B4="","",IF(3&gt;Variables!$C$11,0,COUNTIFS(POS_Time,"&gt;="&amp;($C4+CONVERT(Variables!$C$12,"sec","day")),POS_Time,"&lt;="&amp;($D4-CONVERT(Variables!$C$12+1,"sec","day")),POS_Q,"=3")))</f>
        <v/>
      </c>
      <c r="X4" s="26" t="str">
        <f>IF($B4="","",IF(4&gt;Variables!$C$11,0,COUNTIFS(POS_Time,"&gt;="&amp;($C4+CONVERT(Variables!$C$12,"sec","day")),POS_Time,"&lt;="&amp;($D4-CONVERT(Variables!$C$12+1,"sec","day")),POS_Q,"=4")))</f>
        <v/>
      </c>
      <c r="Y4" s="26" t="str">
        <f>IF($B4="","",IF(5&gt;Variables!$C$11,0,COUNTIFS(POS_Time,"&gt;="&amp;($C4+CONVERT(Variables!$C$12,"sec","day")),POS_Time,"&lt;="&amp;($D4-CONVERT(Variables!$C$12+1,"sec","day")),POS_Q,"=5")))</f>
        <v/>
      </c>
      <c r="Z4" s="26" t="str">
        <f>IF($B4="","",IF(6&gt;Variables!$C$11,0,COUNTIFS(POS_Time,"&gt;="&amp;($C4+CONVERT(Variables!$C$12,"sec","day")),POS_Time,"&lt;="&amp;($D4-CONVERT(Variables!$C$12+1,"sec","day")),POS_Q,"=6")))</f>
        <v/>
      </c>
    </row>
    <row r="5" spans="1:26" x14ac:dyDescent="0.25">
      <c r="A5" s="2">
        <v>4</v>
      </c>
      <c r="B5" s="27" t="str">
        <f>IF((ROW()-1)&lt;=RoverStations,'Rover CSV Data'!B5,"")</f>
        <v/>
      </c>
      <c r="C5" s="28" t="str">
        <f>IF($B5="","",DATEVALUE(LEFT('Rover CSV Data'!F5,FIND(" ",'Rover CSV Data'!F5)-1))+TIMEVALUE(MID('Rover CSV Data'!F5,LEN('Rover CSV Data'!F5)-FIND(" ",'Rover CSV Data'!F5),(FIND(" UTC",'Rover CSV Data'!F5))-(LEN('Rover CSV Data'!F5)-FIND(" ",'Rover CSV Data'!F5)))))</f>
        <v/>
      </c>
      <c r="D5" s="28" t="str">
        <f>IF($B5="","",DATEVALUE(LEFT('Rover CSV Data'!G5,FIND(" ",'Rover CSV Data'!G5)-1))+TIMEVALUE(MID('Rover CSV Data'!G5,LEN('Rover CSV Data'!G5)-FIND(" ",'Rover CSV Data'!G5),(FIND(" UTC",'Rover CSV Data'!G5))-(LEN('Rover CSV Data'!G5)-FIND(" ",'Rover CSV Data'!G5)))))</f>
        <v/>
      </c>
      <c r="E5" s="29" t="str">
        <f t="shared" si="0"/>
        <v/>
      </c>
      <c r="F5" s="26" t="str">
        <f>IF($B5="","",'Rover CSV Data'!J5)</f>
        <v/>
      </c>
      <c r="G5" s="26" t="str">
        <f>IF($B5="","",AVERAGEIFS(POS_Lat,POS_Time,"&gt;="&amp;($C5+CONVERT(Variables!$C$12,"sec","day")),POS_Time,"&lt;="&amp;($D5-CONVERT(Variables!$C$12+1,"sec","day")),POS_Q,"&lt;="&amp;Variables!$C$11))</f>
        <v/>
      </c>
      <c r="H5" s="26" t="str">
        <f>IF($B5="","",AVERAGEIFS(POS_Long,POS_Time,"&gt;="&amp;($C5+CONVERT(Variables!$C$12,"sec","day")),POS_Time,"&lt;="&amp;($D5-CONVERT(Variables!$C$12+1,"sec","day")),POS_Q,"&lt;="&amp;Variables!$C$11))</f>
        <v/>
      </c>
      <c r="I5" s="30" t="str">
        <f>IF($B5="","",AVERAGEIFS(POS_elev,POS_Time,"&gt;="&amp;($C5+CONVERT(Variables!$C$12,"sec","day")),POS_Time,"&lt;="&amp;($D5-CONVERT(Variables!$C$12+1,"sec","day")),POS_Q,"&lt;="&amp;Variables!$C$11)-S5)</f>
        <v/>
      </c>
      <c r="J5" s="26" t="str">
        <f>IF($B5="","",'Rover CSV Data'!D5)</f>
        <v/>
      </c>
      <c r="K5" s="26" t="str">
        <f>IF($B5="","",'Rover CSV Data'!C5)</f>
        <v/>
      </c>
      <c r="L5" s="26" t="str">
        <f>IF($B5="","",'Rover CSV Data'!E5)</f>
        <v/>
      </c>
      <c r="M5" s="31" t="str">
        <f>IF($B5="","",AVERAGEIFS(sdn,POS_Time,"&gt;="&amp;($C5+CONVERT(Variables!$C$12,"sec","day")),POS_Time,"&lt;="&amp;($D5-CONVERT(Variables!$C$12+1,"sec","day")),POS_Q,"&lt;="&amp;Variables!$C$11))</f>
        <v/>
      </c>
      <c r="N5" s="31" t="str">
        <f>IF($B5="","",AVERAGEIFS(sde,POS_Time,"&gt;="&amp;($C5+CONVERT(Variables!$C$12,"sec","day")),POS_Time,"&lt;="&amp;($D5-CONVERT(Variables!$C$12+1,"sec","day")),POS_Q,"&lt;="&amp;Variables!$C$11))</f>
        <v/>
      </c>
      <c r="O5" s="31" t="str">
        <f>IF($B5="","",AVERAGEIFS(sdu,POS_Time,"&gt;="&amp;($C5+CONVERT(Variables!$C$12,"sec","day")),POS_Time,"&lt;="&amp;($D5-CONVERT(Variables!$C$12+1,"sec","day")),POS_Q,"&lt;="&amp;Variables!$C$11))</f>
        <v/>
      </c>
      <c r="P5" s="32" t="str">
        <f t="array" ref="P5">IF($B5="","",STDEV(IF(POS_Time&gt;=($C5+CONVERT(Variables!$C$12,"sec","day")),IF(POS_Time&lt;=($D5-CONVERT(Variables!$C$12+1,"sec","day")),IF(POS_Q&lt;=Variables!$C$11,POS_Lat)))))</f>
        <v/>
      </c>
      <c r="Q5" s="32" t="str">
        <f t="array" ref="Q5">IF($B5="","",STDEV(IF(POS_Time&gt;=($C5+CONVERT(Variables!$C$12,"sec","day")),IF(POS_Time&lt;=($D5-CONVERT(Variables!$C$12+1,"sec","day")),IF(POS_Q&lt;=Variables!$C$11,POS_Long)))))</f>
        <v/>
      </c>
      <c r="R5" s="32" t="str">
        <f t="array" ref="R5">IF($B5="","",STDEV(IF(POS_Time&gt;=($C5+CONVERT(Variables!$C$12,"sec","day")),IF(POS_Time&lt;=($D5-CONVERT(Variables!$C$12+1,"sec","day")),IF(POS_Q&lt;=Variables!$C$11,POS_elev)))))</f>
        <v/>
      </c>
      <c r="S5" s="30" t="str">
        <f>IF($B5="","",'Rover CSV Data'!K5)</f>
        <v/>
      </c>
      <c r="T5" s="26" t="str">
        <f>IF($B5="","",COUNTIFS(POS_Time,"&gt;="&amp;($C5+CONVERT(Variables!$C$12,"sec","day")),POS_Time,"&lt;="&amp;($D5-CONVERT(Variables!$C$12+1,"sec","day")),POS_Q,"&lt;="&amp;Variables!$C$11))</f>
        <v/>
      </c>
      <c r="U5" s="26" t="str">
        <f>IF($B5="","",IF(1&gt;Variables!$C$11,0,COUNTIFS(POS_Time,"&gt;="&amp;($C5+CONVERT(Variables!$C$12,"sec","day")),POS_Time,"&lt;="&amp;($D5-CONVERT(Variables!$C$12+1,"sec","day")),POS_Q,"=1")))</f>
        <v/>
      </c>
      <c r="V5" s="26" t="str">
        <f>IF($B5="","",IF(2&gt;Variables!$C$11,0,COUNTIFS(POS_Time,"&gt;="&amp;($C5+CONVERT(Variables!$C$12,"sec","day")),POS_Time,"&lt;="&amp;($D5-CONVERT(Variables!$C$12+1,"sec","day")),POS_Q,"=2")))</f>
        <v/>
      </c>
      <c r="W5" s="26" t="str">
        <f>IF($B5="","",IF(3&gt;Variables!$C$11,0,COUNTIFS(POS_Time,"&gt;="&amp;($C5+CONVERT(Variables!$C$12,"sec","day")),POS_Time,"&lt;="&amp;($D5-CONVERT(Variables!$C$12+1,"sec","day")),POS_Q,"=3")))</f>
        <v/>
      </c>
      <c r="X5" s="26" t="str">
        <f>IF($B5="","",IF(4&gt;Variables!$C$11,0,COUNTIFS(POS_Time,"&gt;="&amp;($C5+CONVERT(Variables!$C$12,"sec","day")),POS_Time,"&lt;="&amp;($D5-CONVERT(Variables!$C$12+1,"sec","day")),POS_Q,"=4")))</f>
        <v/>
      </c>
      <c r="Y5" s="26" t="str">
        <f>IF($B5="","",IF(5&gt;Variables!$C$11,0,COUNTIFS(POS_Time,"&gt;="&amp;($C5+CONVERT(Variables!$C$12,"sec","day")),POS_Time,"&lt;="&amp;($D5-CONVERT(Variables!$C$12+1,"sec","day")),POS_Q,"=5")))</f>
        <v/>
      </c>
      <c r="Z5" s="26" t="str">
        <f>IF($B5="","",IF(6&gt;Variables!$C$11,0,COUNTIFS(POS_Time,"&gt;="&amp;($C5+CONVERT(Variables!$C$12,"sec","day")),POS_Time,"&lt;="&amp;($D5-CONVERT(Variables!$C$12+1,"sec","day")),POS_Q,"=6")))</f>
        <v/>
      </c>
    </row>
    <row r="6" spans="1:26" x14ac:dyDescent="0.25">
      <c r="A6" s="2">
        <v>5</v>
      </c>
      <c r="B6" s="27" t="str">
        <f>IF((ROW()-1)&lt;=RoverStations,'Rover CSV Data'!B6,"")</f>
        <v/>
      </c>
      <c r="C6" s="28" t="str">
        <f>IF($B6="","",DATEVALUE(LEFT('Rover CSV Data'!F6,FIND(" ",'Rover CSV Data'!F6)-1))+TIMEVALUE(MID('Rover CSV Data'!F6,LEN('Rover CSV Data'!F6)-FIND(" ",'Rover CSV Data'!F6),(FIND(" UTC",'Rover CSV Data'!F6))-(LEN('Rover CSV Data'!F6)-FIND(" ",'Rover CSV Data'!F6)))))</f>
        <v/>
      </c>
      <c r="D6" s="28" t="str">
        <f>IF($B6="","",DATEVALUE(LEFT('Rover CSV Data'!G6,FIND(" ",'Rover CSV Data'!G6)-1))+TIMEVALUE(MID('Rover CSV Data'!G6,LEN('Rover CSV Data'!G6)-FIND(" ",'Rover CSV Data'!G6),(FIND(" UTC",'Rover CSV Data'!G6))-(LEN('Rover CSV Data'!G6)-FIND(" ",'Rover CSV Data'!G6)))))</f>
        <v/>
      </c>
      <c r="E6" s="29" t="str">
        <f t="shared" si="0"/>
        <v/>
      </c>
      <c r="F6" s="26" t="str">
        <f>IF($B6="","",'Rover CSV Data'!J6)</f>
        <v/>
      </c>
      <c r="G6" s="26" t="str">
        <f>IF($B6="","",AVERAGEIFS(POS_Lat,POS_Time,"&gt;="&amp;($C6+CONVERT(Variables!$C$12,"sec","day")),POS_Time,"&lt;="&amp;($D6-CONVERT(Variables!$C$12+1,"sec","day")),POS_Q,"&lt;="&amp;Variables!$C$11))</f>
        <v/>
      </c>
      <c r="H6" s="26" t="str">
        <f>IF($B6="","",AVERAGEIFS(POS_Long,POS_Time,"&gt;="&amp;($C6+CONVERT(Variables!$C$12,"sec","day")),POS_Time,"&lt;="&amp;($D6-CONVERT(Variables!$C$12+1,"sec","day")),POS_Q,"&lt;="&amp;Variables!$C$11))</f>
        <v/>
      </c>
      <c r="I6" s="30" t="str">
        <f>IF($B6="","",AVERAGEIFS(POS_elev,POS_Time,"&gt;="&amp;($C6+CONVERT(Variables!$C$12,"sec","day")),POS_Time,"&lt;="&amp;($D6-CONVERT(Variables!$C$12+1,"sec","day")),POS_Q,"&lt;="&amp;Variables!$C$11)-S6)</f>
        <v/>
      </c>
      <c r="J6" s="26" t="str">
        <f>IF($B6="","",'Rover CSV Data'!D6)</f>
        <v/>
      </c>
      <c r="K6" s="26" t="str">
        <f>IF($B6="","",'Rover CSV Data'!C6)</f>
        <v/>
      </c>
      <c r="L6" s="26" t="str">
        <f>IF($B6="","",'Rover CSV Data'!E6)</f>
        <v/>
      </c>
      <c r="M6" s="31" t="str">
        <f>IF($B6="","",AVERAGEIFS(sdn,POS_Time,"&gt;="&amp;($C6+CONVERT(Variables!$C$12,"sec","day")),POS_Time,"&lt;="&amp;($D6-CONVERT(Variables!$C$12+1,"sec","day")),POS_Q,"&lt;="&amp;Variables!$C$11))</f>
        <v/>
      </c>
      <c r="N6" s="31" t="str">
        <f>IF($B6="","",AVERAGEIFS(sde,POS_Time,"&gt;="&amp;($C6+CONVERT(Variables!$C$12,"sec","day")),POS_Time,"&lt;="&amp;($D6-CONVERT(Variables!$C$12+1,"sec","day")),POS_Q,"&lt;="&amp;Variables!$C$11))</f>
        <v/>
      </c>
      <c r="O6" s="31" t="str">
        <f>IF($B6="","",AVERAGEIFS(sdu,POS_Time,"&gt;="&amp;($C6+CONVERT(Variables!$C$12,"sec","day")),POS_Time,"&lt;="&amp;($D6-CONVERT(Variables!$C$12+1,"sec","day")),POS_Q,"&lt;="&amp;Variables!$C$11))</f>
        <v/>
      </c>
      <c r="P6" s="32" t="str">
        <f t="array" ref="P6">IF($B6="","",STDEV(IF(POS_Time&gt;=($C6+CONVERT(Variables!$C$12,"sec","day")),IF(POS_Time&lt;=($D6-CONVERT(Variables!$C$12+1,"sec","day")),IF(POS_Q&lt;=Variables!$C$11,POS_Lat)))))</f>
        <v/>
      </c>
      <c r="Q6" s="32" t="str">
        <f t="array" ref="Q6">IF($B6="","",STDEV(IF(POS_Time&gt;=($C6+CONVERT(Variables!$C$12,"sec","day")),IF(POS_Time&lt;=($D6-CONVERT(Variables!$C$12+1,"sec","day")),IF(POS_Q&lt;=Variables!$C$11,POS_Long)))))</f>
        <v/>
      </c>
      <c r="R6" s="32" t="str">
        <f t="array" ref="R6">IF($B6="","",STDEV(IF(POS_Time&gt;=($C6+CONVERT(Variables!$C$12,"sec","day")),IF(POS_Time&lt;=($D6-CONVERT(Variables!$C$12+1,"sec","day")),IF(POS_Q&lt;=Variables!$C$11,POS_elev)))))</f>
        <v/>
      </c>
      <c r="S6" s="30" t="str">
        <f>IF($B6="","",'Rover CSV Data'!K6)</f>
        <v/>
      </c>
      <c r="T6" s="26" t="str">
        <f>IF($B6="","",COUNTIFS(POS_Time,"&gt;="&amp;($C6+CONVERT(Variables!$C$12,"sec","day")),POS_Time,"&lt;="&amp;($D6-CONVERT(Variables!$C$12+1,"sec","day")),POS_Q,"&lt;="&amp;Variables!$C$11))</f>
        <v/>
      </c>
      <c r="U6" s="26" t="str">
        <f>IF($B6="","",IF(1&gt;Variables!$C$11,0,COUNTIFS(POS_Time,"&gt;="&amp;($C6+CONVERT(Variables!$C$12,"sec","day")),POS_Time,"&lt;="&amp;($D6-CONVERT(Variables!$C$12+1,"sec","day")),POS_Q,"=1")))</f>
        <v/>
      </c>
      <c r="V6" s="26" t="str">
        <f>IF($B6="","",IF(2&gt;Variables!$C$11,0,COUNTIFS(POS_Time,"&gt;="&amp;($C6+CONVERT(Variables!$C$12,"sec","day")),POS_Time,"&lt;="&amp;($D6-CONVERT(Variables!$C$12+1,"sec","day")),POS_Q,"=2")))</f>
        <v/>
      </c>
      <c r="W6" s="26" t="str">
        <f>IF($B6="","",IF(3&gt;Variables!$C$11,0,COUNTIFS(POS_Time,"&gt;="&amp;($C6+CONVERT(Variables!$C$12,"sec","day")),POS_Time,"&lt;="&amp;($D6-CONVERT(Variables!$C$12+1,"sec","day")),POS_Q,"=3")))</f>
        <v/>
      </c>
      <c r="X6" s="26" t="str">
        <f>IF($B6="","",IF(4&gt;Variables!$C$11,0,COUNTIFS(POS_Time,"&gt;="&amp;($C6+CONVERT(Variables!$C$12,"sec","day")),POS_Time,"&lt;="&amp;($D6-CONVERT(Variables!$C$12+1,"sec","day")),POS_Q,"=4")))</f>
        <v/>
      </c>
      <c r="Y6" s="26" t="str">
        <f>IF($B6="","",IF(5&gt;Variables!$C$11,0,COUNTIFS(POS_Time,"&gt;="&amp;($C6+CONVERT(Variables!$C$12,"sec","day")),POS_Time,"&lt;="&amp;($D6-CONVERT(Variables!$C$12+1,"sec","day")),POS_Q,"=5")))</f>
        <v/>
      </c>
      <c r="Z6" s="26" t="str">
        <f>IF($B6="","",IF(6&gt;Variables!$C$11,0,COUNTIFS(POS_Time,"&gt;="&amp;($C6+CONVERT(Variables!$C$12,"sec","day")),POS_Time,"&lt;="&amp;($D6-CONVERT(Variables!$C$12+1,"sec","day")),POS_Q,"=6")))</f>
        <v/>
      </c>
    </row>
    <row r="7" spans="1:26" x14ac:dyDescent="0.25">
      <c r="A7" s="2">
        <v>6</v>
      </c>
      <c r="B7" s="27" t="str">
        <f>IF((ROW()-1)&lt;=RoverStations,'Rover CSV Data'!B7,"")</f>
        <v/>
      </c>
      <c r="C7" s="28" t="str">
        <f>IF($B7="","",DATEVALUE(LEFT('Rover CSV Data'!F7,FIND(" ",'Rover CSV Data'!F7)-1))+TIMEVALUE(MID('Rover CSV Data'!F7,LEN('Rover CSV Data'!F7)-FIND(" ",'Rover CSV Data'!F7),(FIND(" UTC",'Rover CSV Data'!F7))-(LEN('Rover CSV Data'!F7)-FIND(" ",'Rover CSV Data'!F7)))))</f>
        <v/>
      </c>
      <c r="D7" s="28" t="str">
        <f>IF($B7="","",DATEVALUE(LEFT('Rover CSV Data'!G7,FIND(" ",'Rover CSV Data'!G7)-1))+TIMEVALUE(MID('Rover CSV Data'!G7,LEN('Rover CSV Data'!G7)-FIND(" ",'Rover CSV Data'!G7),(FIND(" UTC",'Rover CSV Data'!G7))-(LEN('Rover CSV Data'!G7)-FIND(" ",'Rover CSV Data'!G7)))))</f>
        <v/>
      </c>
      <c r="E7" s="29" t="str">
        <f t="shared" si="0"/>
        <v/>
      </c>
      <c r="F7" s="26" t="str">
        <f>IF($B7="","",'Rover CSV Data'!J7)</f>
        <v/>
      </c>
      <c r="G7" s="26" t="str">
        <f>IF($B7="","",AVERAGEIFS(POS_Lat,POS_Time,"&gt;="&amp;($C7+CONVERT(Variables!$C$12,"sec","day")),POS_Time,"&lt;="&amp;($D7-CONVERT(Variables!$C$12+1,"sec","day")),POS_Q,"&lt;="&amp;Variables!$C$11))</f>
        <v/>
      </c>
      <c r="H7" s="26" t="str">
        <f>IF($B7="","",AVERAGEIFS(POS_Long,POS_Time,"&gt;="&amp;($C7+CONVERT(Variables!$C$12,"sec","day")),POS_Time,"&lt;="&amp;($D7-CONVERT(Variables!$C$12+1,"sec","day")),POS_Q,"&lt;="&amp;Variables!$C$11))</f>
        <v/>
      </c>
      <c r="I7" s="30" t="str">
        <f>IF($B7="","",AVERAGEIFS(POS_elev,POS_Time,"&gt;="&amp;($C7+CONVERT(Variables!$C$12,"sec","day")),POS_Time,"&lt;="&amp;($D7-CONVERT(Variables!$C$12+1,"sec","day")),POS_Q,"&lt;="&amp;Variables!$C$11)-S7)</f>
        <v/>
      </c>
      <c r="J7" s="26" t="str">
        <f>IF($B7="","",'Rover CSV Data'!D7)</f>
        <v/>
      </c>
      <c r="K7" s="26" t="str">
        <f>IF($B7="","",'Rover CSV Data'!C7)</f>
        <v/>
      </c>
      <c r="L7" s="26" t="str">
        <f>IF($B7="","",'Rover CSV Data'!E7)</f>
        <v/>
      </c>
      <c r="M7" s="31" t="str">
        <f>IF($B7="","",AVERAGEIFS(sdn,POS_Time,"&gt;="&amp;($C7+CONVERT(Variables!$C$12,"sec","day")),POS_Time,"&lt;="&amp;($D7-CONVERT(Variables!$C$12+1,"sec","day")),POS_Q,"&lt;="&amp;Variables!$C$11))</f>
        <v/>
      </c>
      <c r="N7" s="31" t="str">
        <f>IF($B7="","",AVERAGEIFS(sde,POS_Time,"&gt;="&amp;($C7+CONVERT(Variables!$C$12,"sec","day")),POS_Time,"&lt;="&amp;($D7-CONVERT(Variables!$C$12+1,"sec","day")),POS_Q,"&lt;="&amp;Variables!$C$11))</f>
        <v/>
      </c>
      <c r="O7" s="31" t="str">
        <f>IF($B7="","",AVERAGEIFS(sdu,POS_Time,"&gt;="&amp;($C7+CONVERT(Variables!$C$12,"sec","day")),POS_Time,"&lt;="&amp;($D7-CONVERT(Variables!$C$12+1,"sec","day")),POS_Q,"&lt;="&amp;Variables!$C$11))</f>
        <v/>
      </c>
      <c r="P7" s="32" t="str">
        <f t="array" ref="P7">IF($B7="","",STDEV(IF(POS_Time&gt;=($C7+CONVERT(Variables!$C$12,"sec","day")),IF(POS_Time&lt;=($D7-CONVERT(Variables!$C$12+1,"sec","day")),IF(POS_Q&lt;=Variables!$C$11,POS_Lat)))))</f>
        <v/>
      </c>
      <c r="Q7" s="32" t="str">
        <f t="array" ref="Q7">IF($B7="","",STDEV(IF(POS_Time&gt;=($C7+CONVERT(Variables!$C$12,"sec","day")),IF(POS_Time&lt;=($D7-CONVERT(Variables!$C$12+1,"sec","day")),IF(POS_Q&lt;=Variables!$C$11,POS_Long)))))</f>
        <v/>
      </c>
      <c r="R7" s="32" t="str">
        <f t="array" ref="R7">IF($B7="","",STDEV(IF(POS_Time&gt;=($C7+CONVERT(Variables!$C$12,"sec","day")),IF(POS_Time&lt;=($D7-CONVERT(Variables!$C$12+1,"sec","day")),IF(POS_Q&lt;=Variables!$C$11,POS_elev)))))</f>
        <v/>
      </c>
      <c r="S7" s="30" t="str">
        <f>IF($B7="","",'Rover CSV Data'!K7)</f>
        <v/>
      </c>
      <c r="T7" s="26" t="str">
        <f>IF($B7="","",COUNTIFS(POS_Time,"&gt;="&amp;($C7+CONVERT(Variables!$C$12,"sec","day")),POS_Time,"&lt;="&amp;($D7-CONVERT(Variables!$C$12+1,"sec","day")),POS_Q,"&lt;="&amp;Variables!$C$11))</f>
        <v/>
      </c>
      <c r="U7" s="26" t="str">
        <f>IF($B7="","",IF(1&gt;Variables!$C$11,0,COUNTIFS(POS_Time,"&gt;="&amp;($C7+CONVERT(Variables!$C$12,"sec","day")),POS_Time,"&lt;="&amp;($D7-CONVERT(Variables!$C$12+1,"sec","day")),POS_Q,"=1")))</f>
        <v/>
      </c>
      <c r="V7" s="26" t="str">
        <f>IF($B7="","",IF(2&gt;Variables!$C$11,0,COUNTIFS(POS_Time,"&gt;="&amp;($C7+CONVERT(Variables!$C$12,"sec","day")),POS_Time,"&lt;="&amp;($D7-CONVERT(Variables!$C$12+1,"sec","day")),POS_Q,"=2")))</f>
        <v/>
      </c>
      <c r="W7" s="26" t="str">
        <f>IF($B7="","",IF(3&gt;Variables!$C$11,0,COUNTIFS(POS_Time,"&gt;="&amp;($C7+CONVERT(Variables!$C$12,"sec","day")),POS_Time,"&lt;="&amp;($D7-CONVERT(Variables!$C$12+1,"sec","day")),POS_Q,"=3")))</f>
        <v/>
      </c>
      <c r="X7" s="26" t="str">
        <f>IF($B7="","",IF(4&gt;Variables!$C$11,0,COUNTIFS(POS_Time,"&gt;="&amp;($C7+CONVERT(Variables!$C$12,"sec","day")),POS_Time,"&lt;="&amp;($D7-CONVERT(Variables!$C$12+1,"sec","day")),POS_Q,"=4")))</f>
        <v/>
      </c>
      <c r="Y7" s="26" t="str">
        <f>IF($B7="","",IF(5&gt;Variables!$C$11,0,COUNTIFS(POS_Time,"&gt;="&amp;($C7+CONVERT(Variables!$C$12,"sec","day")),POS_Time,"&lt;="&amp;($D7-CONVERT(Variables!$C$12+1,"sec","day")),POS_Q,"=5")))</f>
        <v/>
      </c>
      <c r="Z7" s="26" t="str">
        <f>IF($B7="","",IF(6&gt;Variables!$C$11,0,COUNTIFS(POS_Time,"&gt;="&amp;($C7+CONVERT(Variables!$C$12,"sec","day")),POS_Time,"&lt;="&amp;($D7-CONVERT(Variables!$C$12+1,"sec","day")),POS_Q,"=6")))</f>
        <v/>
      </c>
    </row>
    <row r="8" spans="1:26" x14ac:dyDescent="0.25">
      <c r="A8" s="2">
        <v>7</v>
      </c>
      <c r="B8" s="27" t="str">
        <f>IF((ROW()-1)&lt;=RoverStations,'Rover CSV Data'!B8,"")</f>
        <v/>
      </c>
      <c r="C8" s="28" t="str">
        <f>IF($B8="","",DATEVALUE(LEFT('Rover CSV Data'!F8,FIND(" ",'Rover CSV Data'!F8)-1))+TIMEVALUE(MID('Rover CSV Data'!F8,LEN('Rover CSV Data'!F8)-FIND(" ",'Rover CSV Data'!F8),(FIND(" UTC",'Rover CSV Data'!F8))-(LEN('Rover CSV Data'!F8)-FIND(" ",'Rover CSV Data'!F8)))))</f>
        <v/>
      </c>
      <c r="D8" s="28" t="str">
        <f>IF($B8="","",DATEVALUE(LEFT('Rover CSV Data'!G8,FIND(" ",'Rover CSV Data'!G8)-1))+TIMEVALUE(MID('Rover CSV Data'!G8,LEN('Rover CSV Data'!G8)-FIND(" ",'Rover CSV Data'!G8),(FIND(" UTC",'Rover CSV Data'!G8))-(LEN('Rover CSV Data'!G8)-FIND(" ",'Rover CSV Data'!G8)))))</f>
        <v/>
      </c>
      <c r="E8" s="29" t="str">
        <f t="shared" si="0"/>
        <v/>
      </c>
      <c r="F8" s="26" t="str">
        <f>IF($B8="","",'Rover CSV Data'!J8)</f>
        <v/>
      </c>
      <c r="G8" s="26" t="str">
        <f>IF($B8="","",AVERAGEIFS(POS_Lat,POS_Time,"&gt;="&amp;($C8+CONVERT(Variables!$C$12,"sec","day")),POS_Time,"&lt;="&amp;($D8-CONVERT(Variables!$C$12+1,"sec","day")),POS_Q,"&lt;="&amp;Variables!$C$11))</f>
        <v/>
      </c>
      <c r="H8" s="26" t="str">
        <f>IF($B8="","",AVERAGEIFS(POS_Long,POS_Time,"&gt;="&amp;($C8+CONVERT(Variables!$C$12,"sec","day")),POS_Time,"&lt;="&amp;($D8-CONVERT(Variables!$C$12+1,"sec","day")),POS_Q,"&lt;="&amp;Variables!$C$11))</f>
        <v/>
      </c>
      <c r="I8" s="30" t="str">
        <f>IF($B8="","",AVERAGEIFS(POS_elev,POS_Time,"&gt;="&amp;($C8+CONVERT(Variables!$C$12,"sec","day")),POS_Time,"&lt;="&amp;($D8-CONVERT(Variables!$C$12+1,"sec","day")),POS_Q,"&lt;="&amp;Variables!$C$11)-S8)</f>
        <v/>
      </c>
      <c r="J8" s="26" t="str">
        <f>IF($B8="","",'Rover CSV Data'!D8)</f>
        <v/>
      </c>
      <c r="K8" s="26" t="str">
        <f>IF($B8="","",'Rover CSV Data'!C8)</f>
        <v/>
      </c>
      <c r="L8" s="26" t="str">
        <f>IF($B8="","",'Rover CSV Data'!E8)</f>
        <v/>
      </c>
      <c r="M8" s="31" t="str">
        <f>IF($B8="","",AVERAGEIFS(sdn,POS_Time,"&gt;="&amp;($C8+CONVERT(Variables!$C$12,"sec","day")),POS_Time,"&lt;="&amp;($D8-CONVERT(Variables!$C$12+1,"sec","day")),POS_Q,"&lt;="&amp;Variables!$C$11))</f>
        <v/>
      </c>
      <c r="N8" s="31" t="str">
        <f>IF($B8="","",AVERAGEIFS(sde,POS_Time,"&gt;="&amp;($C8+CONVERT(Variables!$C$12,"sec","day")),POS_Time,"&lt;="&amp;($D8-CONVERT(Variables!$C$12+1,"sec","day")),POS_Q,"&lt;="&amp;Variables!$C$11))</f>
        <v/>
      </c>
      <c r="O8" s="31" t="str">
        <f>IF($B8="","",AVERAGEIFS(sdu,POS_Time,"&gt;="&amp;($C8+CONVERT(Variables!$C$12,"sec","day")),POS_Time,"&lt;="&amp;($D8-CONVERT(Variables!$C$12+1,"sec","day")),POS_Q,"&lt;="&amp;Variables!$C$11))</f>
        <v/>
      </c>
      <c r="P8" s="32" t="str">
        <f t="array" ref="P8">IF($B8="","",STDEV(IF(POS_Time&gt;=($C8+CONVERT(Variables!$C$12,"sec","day")),IF(POS_Time&lt;=($D8-CONVERT(Variables!$C$12+1,"sec","day")),IF(POS_Q&lt;=Variables!$C$11,POS_Lat)))))</f>
        <v/>
      </c>
      <c r="Q8" s="32" t="str">
        <f t="array" ref="Q8">IF($B8="","",STDEV(IF(POS_Time&gt;=($C8+CONVERT(Variables!$C$12,"sec","day")),IF(POS_Time&lt;=($D8-CONVERT(Variables!$C$12+1,"sec","day")),IF(POS_Q&lt;=Variables!$C$11,POS_Long)))))</f>
        <v/>
      </c>
      <c r="R8" s="32" t="str">
        <f t="array" ref="R8">IF($B8="","",STDEV(IF(POS_Time&gt;=($C8+CONVERT(Variables!$C$12,"sec","day")),IF(POS_Time&lt;=($D8-CONVERT(Variables!$C$12+1,"sec","day")),IF(POS_Q&lt;=Variables!$C$11,POS_elev)))))</f>
        <v/>
      </c>
      <c r="S8" s="30" t="str">
        <f>IF($B8="","",'Rover CSV Data'!K8)</f>
        <v/>
      </c>
      <c r="T8" s="26" t="str">
        <f>IF($B8="","",COUNTIFS(POS_Time,"&gt;="&amp;($C8+CONVERT(Variables!$C$12,"sec","day")),POS_Time,"&lt;="&amp;($D8-CONVERT(Variables!$C$12+1,"sec","day")),POS_Q,"&lt;="&amp;Variables!$C$11))</f>
        <v/>
      </c>
      <c r="U8" s="26" t="str">
        <f>IF($B8="","",IF(1&gt;Variables!$C$11,0,COUNTIFS(POS_Time,"&gt;="&amp;($C8+CONVERT(Variables!$C$12,"sec","day")),POS_Time,"&lt;="&amp;($D8-CONVERT(Variables!$C$12+1,"sec","day")),POS_Q,"=1")))</f>
        <v/>
      </c>
      <c r="V8" s="26" t="str">
        <f>IF($B8="","",IF(2&gt;Variables!$C$11,0,COUNTIFS(POS_Time,"&gt;="&amp;($C8+CONVERT(Variables!$C$12,"sec","day")),POS_Time,"&lt;="&amp;($D8-CONVERT(Variables!$C$12+1,"sec","day")),POS_Q,"=2")))</f>
        <v/>
      </c>
      <c r="W8" s="26" t="str">
        <f>IF($B8="","",IF(3&gt;Variables!$C$11,0,COUNTIFS(POS_Time,"&gt;="&amp;($C8+CONVERT(Variables!$C$12,"sec","day")),POS_Time,"&lt;="&amp;($D8-CONVERT(Variables!$C$12+1,"sec","day")),POS_Q,"=3")))</f>
        <v/>
      </c>
      <c r="X8" s="26" t="str">
        <f>IF($B8="","",IF(4&gt;Variables!$C$11,0,COUNTIFS(POS_Time,"&gt;="&amp;($C8+CONVERT(Variables!$C$12,"sec","day")),POS_Time,"&lt;="&amp;($D8-CONVERT(Variables!$C$12+1,"sec","day")),POS_Q,"=4")))</f>
        <v/>
      </c>
      <c r="Y8" s="26" t="str">
        <f>IF($B8="","",IF(5&gt;Variables!$C$11,0,COUNTIFS(POS_Time,"&gt;="&amp;($C8+CONVERT(Variables!$C$12,"sec","day")),POS_Time,"&lt;="&amp;($D8-CONVERT(Variables!$C$12+1,"sec","day")),POS_Q,"=5")))</f>
        <v/>
      </c>
      <c r="Z8" s="26" t="str">
        <f>IF($B8="","",IF(6&gt;Variables!$C$11,0,COUNTIFS(POS_Time,"&gt;="&amp;($C8+CONVERT(Variables!$C$12,"sec","day")),POS_Time,"&lt;="&amp;($D8-CONVERT(Variables!$C$12+1,"sec","day")),POS_Q,"=6")))</f>
        <v/>
      </c>
    </row>
    <row r="9" spans="1:26" x14ac:dyDescent="0.25">
      <c r="A9" s="2">
        <v>8</v>
      </c>
      <c r="B9" s="27" t="str">
        <f>IF((ROW()-1)&lt;=RoverStations,'Rover CSV Data'!B9,"")</f>
        <v/>
      </c>
      <c r="C9" s="28" t="str">
        <f>IF($B9="","",DATEVALUE(LEFT('Rover CSV Data'!F9,FIND(" ",'Rover CSV Data'!F9)-1))+TIMEVALUE(MID('Rover CSV Data'!F9,LEN('Rover CSV Data'!F9)-FIND(" ",'Rover CSV Data'!F9),(FIND(" UTC",'Rover CSV Data'!F9))-(LEN('Rover CSV Data'!F9)-FIND(" ",'Rover CSV Data'!F9)))))</f>
        <v/>
      </c>
      <c r="D9" s="28" t="str">
        <f>IF($B9="","",DATEVALUE(LEFT('Rover CSV Data'!G9,FIND(" ",'Rover CSV Data'!G9)-1))+TIMEVALUE(MID('Rover CSV Data'!G9,LEN('Rover CSV Data'!G9)-FIND(" ",'Rover CSV Data'!G9),(FIND(" UTC",'Rover CSV Data'!G9))-(LEN('Rover CSV Data'!G9)-FIND(" ",'Rover CSV Data'!G9)))))</f>
        <v/>
      </c>
      <c r="E9" s="29" t="str">
        <f t="shared" si="0"/>
        <v/>
      </c>
      <c r="F9" s="26" t="str">
        <f>IF($B9="","",'Rover CSV Data'!J9)</f>
        <v/>
      </c>
      <c r="G9" s="26" t="str">
        <f>IF($B9="","",AVERAGEIFS(POS_Lat,POS_Time,"&gt;="&amp;($C9+CONVERT(Variables!$C$12,"sec","day")),POS_Time,"&lt;="&amp;($D9-CONVERT(Variables!$C$12+1,"sec","day")),POS_Q,"&lt;="&amp;Variables!$C$11))</f>
        <v/>
      </c>
      <c r="H9" s="26" t="str">
        <f>IF($B9="","",AVERAGEIFS(POS_Long,POS_Time,"&gt;="&amp;($C9+CONVERT(Variables!$C$12,"sec","day")),POS_Time,"&lt;="&amp;($D9-CONVERT(Variables!$C$12+1,"sec","day")),POS_Q,"&lt;="&amp;Variables!$C$11))</f>
        <v/>
      </c>
      <c r="I9" s="30" t="str">
        <f>IF($B9="","",AVERAGEIFS(POS_elev,POS_Time,"&gt;="&amp;($C9+CONVERT(Variables!$C$12,"sec","day")),POS_Time,"&lt;="&amp;($D9-CONVERT(Variables!$C$12+1,"sec","day")),POS_Q,"&lt;="&amp;Variables!$C$11)-S9)</f>
        <v/>
      </c>
      <c r="J9" s="26" t="str">
        <f>IF($B9="","",'Rover CSV Data'!D9)</f>
        <v/>
      </c>
      <c r="K9" s="26" t="str">
        <f>IF($B9="","",'Rover CSV Data'!C9)</f>
        <v/>
      </c>
      <c r="L9" s="26" t="str">
        <f>IF($B9="","",'Rover CSV Data'!E9)</f>
        <v/>
      </c>
      <c r="M9" s="31" t="str">
        <f>IF($B9="","",AVERAGEIFS(sdn,POS_Time,"&gt;="&amp;($C9+CONVERT(Variables!$C$12,"sec","day")),POS_Time,"&lt;="&amp;($D9-CONVERT(Variables!$C$12+1,"sec","day")),POS_Q,"&lt;="&amp;Variables!$C$11))</f>
        <v/>
      </c>
      <c r="N9" s="31" t="str">
        <f>IF($B9="","",AVERAGEIFS(sde,POS_Time,"&gt;="&amp;($C9+CONVERT(Variables!$C$12,"sec","day")),POS_Time,"&lt;="&amp;($D9-CONVERT(Variables!$C$12+1,"sec","day")),POS_Q,"&lt;="&amp;Variables!$C$11))</f>
        <v/>
      </c>
      <c r="O9" s="31" t="str">
        <f>IF($B9="","",AVERAGEIFS(sdu,POS_Time,"&gt;="&amp;($C9+CONVERT(Variables!$C$12,"sec","day")),POS_Time,"&lt;="&amp;($D9-CONVERT(Variables!$C$12+1,"sec","day")),POS_Q,"&lt;="&amp;Variables!$C$11))</f>
        <v/>
      </c>
      <c r="P9" s="32" t="str">
        <f t="array" ref="P9">IF($B9="","",STDEV(IF(POS_Time&gt;=($C9+CONVERT(Variables!$C$12,"sec","day")),IF(POS_Time&lt;=($D9-CONVERT(Variables!$C$12+1,"sec","day")),IF(POS_Q&lt;=Variables!$C$11,POS_Lat)))))</f>
        <v/>
      </c>
      <c r="Q9" s="32" t="str">
        <f t="array" ref="Q9">IF($B9="","",STDEV(IF(POS_Time&gt;=($C9+CONVERT(Variables!$C$12,"sec","day")),IF(POS_Time&lt;=($D9-CONVERT(Variables!$C$12+1,"sec","day")),IF(POS_Q&lt;=Variables!$C$11,POS_Long)))))</f>
        <v/>
      </c>
      <c r="R9" s="32" t="str">
        <f t="array" ref="R9">IF($B9="","",STDEV(IF(POS_Time&gt;=($C9+CONVERT(Variables!$C$12,"sec","day")),IF(POS_Time&lt;=($D9-CONVERT(Variables!$C$12+1,"sec","day")),IF(POS_Q&lt;=Variables!$C$11,POS_elev)))))</f>
        <v/>
      </c>
      <c r="S9" s="30" t="str">
        <f>IF($B9="","",'Rover CSV Data'!K9)</f>
        <v/>
      </c>
      <c r="T9" s="26" t="str">
        <f>IF($B9="","",COUNTIFS(POS_Time,"&gt;="&amp;($C9+CONVERT(Variables!$C$12,"sec","day")),POS_Time,"&lt;="&amp;($D9-CONVERT(Variables!$C$12+1,"sec","day")),POS_Q,"&lt;="&amp;Variables!$C$11))</f>
        <v/>
      </c>
      <c r="U9" s="26" t="str">
        <f>IF($B9="","",IF(1&gt;Variables!$C$11,0,COUNTIFS(POS_Time,"&gt;="&amp;($C9+CONVERT(Variables!$C$12,"sec","day")),POS_Time,"&lt;="&amp;($D9-CONVERT(Variables!$C$12+1,"sec","day")),POS_Q,"=1")))</f>
        <v/>
      </c>
      <c r="V9" s="26" t="str">
        <f>IF($B9="","",IF(2&gt;Variables!$C$11,0,COUNTIFS(POS_Time,"&gt;="&amp;($C9+CONVERT(Variables!$C$12,"sec","day")),POS_Time,"&lt;="&amp;($D9-CONVERT(Variables!$C$12+1,"sec","day")),POS_Q,"=2")))</f>
        <v/>
      </c>
      <c r="W9" s="26" t="str">
        <f>IF($B9="","",IF(3&gt;Variables!$C$11,0,COUNTIFS(POS_Time,"&gt;="&amp;($C9+CONVERT(Variables!$C$12,"sec","day")),POS_Time,"&lt;="&amp;($D9-CONVERT(Variables!$C$12+1,"sec","day")),POS_Q,"=3")))</f>
        <v/>
      </c>
      <c r="X9" s="26" t="str">
        <f>IF($B9="","",IF(4&gt;Variables!$C$11,0,COUNTIFS(POS_Time,"&gt;="&amp;($C9+CONVERT(Variables!$C$12,"sec","day")),POS_Time,"&lt;="&amp;($D9-CONVERT(Variables!$C$12+1,"sec","day")),POS_Q,"=4")))</f>
        <v/>
      </c>
      <c r="Y9" s="26" t="str">
        <f>IF($B9="","",IF(5&gt;Variables!$C$11,0,COUNTIFS(POS_Time,"&gt;="&amp;($C9+CONVERT(Variables!$C$12,"sec","day")),POS_Time,"&lt;="&amp;($D9-CONVERT(Variables!$C$12+1,"sec","day")),POS_Q,"=5")))</f>
        <v/>
      </c>
      <c r="Z9" s="26" t="str">
        <f>IF($B9="","",IF(6&gt;Variables!$C$11,0,COUNTIFS(POS_Time,"&gt;="&amp;($C9+CONVERT(Variables!$C$12,"sec","day")),POS_Time,"&lt;="&amp;($D9-CONVERT(Variables!$C$12+1,"sec","day")),POS_Q,"=6")))</f>
        <v/>
      </c>
    </row>
    <row r="10" spans="1:26" x14ac:dyDescent="0.25">
      <c r="A10" s="2">
        <v>9</v>
      </c>
      <c r="B10" s="27" t="str">
        <f>IF((ROW()-1)&lt;=RoverStations,'Rover CSV Data'!B10,"")</f>
        <v/>
      </c>
      <c r="C10" s="28" t="str">
        <f>IF($B10="","",DATEVALUE(LEFT('Rover CSV Data'!F10,FIND(" ",'Rover CSV Data'!F10)-1))+TIMEVALUE(MID('Rover CSV Data'!F10,LEN('Rover CSV Data'!F10)-FIND(" ",'Rover CSV Data'!F10),(FIND(" UTC",'Rover CSV Data'!F10))-(LEN('Rover CSV Data'!F10)-FIND(" ",'Rover CSV Data'!F10)))))</f>
        <v/>
      </c>
      <c r="D10" s="28" t="str">
        <f>IF($B10="","",DATEVALUE(LEFT('Rover CSV Data'!G10,FIND(" ",'Rover CSV Data'!G10)-1))+TIMEVALUE(MID('Rover CSV Data'!G10,LEN('Rover CSV Data'!G10)-FIND(" ",'Rover CSV Data'!G10),(FIND(" UTC",'Rover CSV Data'!G10))-(LEN('Rover CSV Data'!G10)-FIND(" ",'Rover CSV Data'!G10)))))</f>
        <v/>
      </c>
      <c r="E10" s="29" t="str">
        <f t="shared" ref="E10:E73" si="1">IF($B10="","",CONVERT(D10-C10,"day","sec"))</f>
        <v/>
      </c>
      <c r="F10" s="26" t="str">
        <f>IF($B10="","",'Rover CSV Data'!J10)</f>
        <v/>
      </c>
      <c r="G10" s="26" t="str">
        <f>IF($B10="","",AVERAGEIFS(POS_Lat,POS_Time,"&gt;="&amp;($C10+CONVERT(Variables!$C$12,"sec","day")),POS_Time,"&lt;="&amp;($D10-CONVERT(Variables!$C$12+1,"sec","day")),POS_Q,"&lt;="&amp;Variables!$C$11))</f>
        <v/>
      </c>
      <c r="H10" s="26" t="str">
        <f>IF($B10="","",AVERAGEIFS(POS_Long,POS_Time,"&gt;="&amp;($C10+CONVERT(Variables!$C$12,"sec","day")),POS_Time,"&lt;="&amp;($D10-CONVERT(Variables!$C$12+1,"sec","day")),POS_Q,"&lt;="&amp;Variables!$C$11))</f>
        <v/>
      </c>
      <c r="I10" s="30" t="str">
        <f>IF($B10="","",AVERAGEIFS(POS_elev,POS_Time,"&gt;="&amp;($C10+CONVERT(Variables!$C$12,"sec","day")),POS_Time,"&lt;="&amp;($D10-CONVERT(Variables!$C$12+1,"sec","day")),POS_Q,"&lt;="&amp;Variables!$C$11)-S10)</f>
        <v/>
      </c>
      <c r="J10" s="26" t="str">
        <f>IF($B10="","",'Rover CSV Data'!D10)</f>
        <v/>
      </c>
      <c r="K10" s="26" t="str">
        <f>IF($B10="","",'Rover CSV Data'!C10)</f>
        <v/>
      </c>
      <c r="L10" s="26" t="str">
        <f>IF($B10="","",'Rover CSV Data'!E10)</f>
        <v/>
      </c>
      <c r="M10" s="30" t="str">
        <f>IF($B10="","",AVERAGEIFS(sdn,POS_Time,"&gt;="&amp;($C10+CONVERT(Variables!$C$12,"sec","day")),POS_Time,"&lt;="&amp;($D10-CONVERT(Variables!$C$12+1,"sec","day")),POS_Q,"&lt;="&amp;Variables!$C$11))</f>
        <v/>
      </c>
      <c r="N10" s="31" t="str">
        <f>IF($B10="","",AVERAGEIFS(sde,POS_Time,"&gt;="&amp;($C10+CONVERT(Variables!$C$12,"sec","day")),POS_Time,"&lt;="&amp;($D10-CONVERT(Variables!$C$12+1,"sec","day")),POS_Q,"&lt;="&amp;Variables!$C$11))</f>
        <v/>
      </c>
      <c r="O10" s="31" t="str">
        <f>IF($B10="","",AVERAGEIFS(sdu,POS_Time,"&gt;="&amp;($C10+CONVERT(Variables!$C$12,"sec","day")),POS_Time,"&lt;="&amp;($D10-CONVERT(Variables!$C$12+1,"sec","day")),POS_Q,"&lt;="&amp;Variables!$C$11))</f>
        <v/>
      </c>
      <c r="P10" s="32" t="str">
        <f t="array" ref="P10">IF($B10="","",STDEV(IF(POS_Time&gt;=($C10+CONVERT(Variables!$C$12,"sec","day")),IF(POS_Time&lt;=($D10-CONVERT(Variables!$C$12+1,"sec","day")),IF(POS_Q&lt;=Variables!$C$11,POS_Lat)))))</f>
        <v/>
      </c>
      <c r="Q10" s="32" t="str">
        <f t="array" ref="Q10">IF($B10="","",STDEV(IF(POS_Time&gt;=($C10+CONVERT(Variables!$C$12,"sec","day")),IF(POS_Time&lt;=($D10-CONVERT(Variables!$C$12+1,"sec","day")),IF(POS_Q&lt;=Variables!$C$11,POS_Long)))))</f>
        <v/>
      </c>
      <c r="R10" s="32" t="str">
        <f t="array" ref="R10">IF($B10="","",STDEV(IF(POS_Time&gt;=($C10+CONVERT(Variables!$C$12,"sec","day")),IF(POS_Time&lt;=($D10-CONVERT(Variables!$C$12+1,"sec","day")),IF(POS_Q&lt;=Variables!$C$11,POS_elev)))))</f>
        <v/>
      </c>
      <c r="S10" s="30" t="str">
        <f>IF($B10="","",'Rover CSV Data'!K10)</f>
        <v/>
      </c>
      <c r="T10" s="26" t="str">
        <f>IF($B10="","",COUNTIFS(POS_Time,"&gt;="&amp;($C10+CONVERT(Variables!$C$12,"sec","day")),POS_Time,"&lt;="&amp;($D10-CONVERT(Variables!$C$12+1,"sec","day")),POS_Q,"&lt;="&amp;Variables!$C$11))</f>
        <v/>
      </c>
      <c r="U10" s="26" t="str">
        <f>IF($B10="","",IF(1&gt;Variables!$C$11,0,COUNTIFS(POS_Time,"&gt;="&amp;($C10+CONVERT(Variables!$C$12,"sec","day")),POS_Time,"&lt;="&amp;($D10-CONVERT(Variables!$C$12+1,"sec","day")),POS_Q,"=1")))</f>
        <v/>
      </c>
      <c r="V10" s="26" t="str">
        <f>IF($B10="","",IF(2&gt;Variables!$C$11,0,COUNTIFS(POS_Time,"&gt;="&amp;($C10+CONVERT(Variables!$C$12,"sec","day")),POS_Time,"&lt;="&amp;($D10-CONVERT(Variables!$C$12+1,"sec","day")),POS_Q,"=2")))</f>
        <v/>
      </c>
      <c r="W10" s="26" t="str">
        <f>IF($B10="","",IF(3&gt;Variables!$C$11,0,COUNTIFS(POS_Time,"&gt;="&amp;($C10+CONVERT(Variables!$C$12,"sec","day")),POS_Time,"&lt;="&amp;($D10-CONVERT(Variables!$C$12+1,"sec","day")),POS_Q,"=3")))</f>
        <v/>
      </c>
      <c r="X10" s="26" t="str">
        <f>IF($B10="","",IF(4&gt;Variables!$C$11,0,COUNTIFS(POS_Time,"&gt;="&amp;($C10+CONVERT(Variables!$C$12,"sec","day")),POS_Time,"&lt;="&amp;($D10-CONVERT(Variables!$C$12+1,"sec","day")),POS_Q,"=4")))</f>
        <v/>
      </c>
      <c r="Y10" s="26" t="str">
        <f>IF($B10="","",IF(5&gt;Variables!$C$11,0,COUNTIFS(POS_Time,"&gt;="&amp;($C10+CONVERT(Variables!$C$12,"sec","day")),POS_Time,"&lt;="&amp;($D10-CONVERT(Variables!$C$12+1,"sec","day")),POS_Q,"=5")))</f>
        <v/>
      </c>
      <c r="Z10" s="26" t="str">
        <f>IF($B10="","",IF(6&gt;Variables!$C$11,0,COUNTIFS(POS_Time,"&gt;="&amp;($C10+CONVERT(Variables!$C$12,"sec","day")),POS_Time,"&lt;="&amp;($D10-CONVERT(Variables!$C$12+1,"sec","day")),POS_Q,"=6")))</f>
        <v/>
      </c>
    </row>
    <row r="11" spans="1:26" x14ac:dyDescent="0.25">
      <c r="A11" s="2">
        <v>10</v>
      </c>
      <c r="B11" s="27" t="str">
        <f>IF((ROW()-1)&lt;=RoverStations,'Rover CSV Data'!B11,"")</f>
        <v/>
      </c>
      <c r="C11" s="28" t="str">
        <f>IF($B11="","",DATEVALUE(LEFT('Rover CSV Data'!F11,FIND(" ",'Rover CSV Data'!F11)-1))+TIMEVALUE(MID('Rover CSV Data'!F11,LEN('Rover CSV Data'!F11)-FIND(" ",'Rover CSV Data'!F11),(FIND(" UTC",'Rover CSV Data'!F11))-(LEN('Rover CSV Data'!F11)-FIND(" ",'Rover CSV Data'!F11)))))</f>
        <v/>
      </c>
      <c r="D11" s="28" t="str">
        <f>IF($B11="","",DATEVALUE(LEFT('Rover CSV Data'!G11,FIND(" ",'Rover CSV Data'!G11)-1))+TIMEVALUE(MID('Rover CSV Data'!G11,LEN('Rover CSV Data'!G11)-FIND(" ",'Rover CSV Data'!G11),(FIND(" UTC",'Rover CSV Data'!G11))-(LEN('Rover CSV Data'!G11)-FIND(" ",'Rover CSV Data'!G11)))))</f>
        <v/>
      </c>
      <c r="E11" s="29" t="str">
        <f t="shared" si="1"/>
        <v/>
      </c>
      <c r="F11" s="26" t="str">
        <f>IF($B11="","",'Rover CSV Data'!J11)</f>
        <v/>
      </c>
      <c r="G11" s="26" t="str">
        <f>IF($B11="","",AVERAGEIFS(POS_Lat,POS_Time,"&gt;="&amp;($C11+CONVERT(Variables!$C$12,"sec","day")),POS_Time,"&lt;="&amp;($D11-CONVERT(Variables!$C$12+1,"sec","day")),POS_Q,"&lt;="&amp;Variables!$C$11))</f>
        <v/>
      </c>
      <c r="H11" s="26" t="str">
        <f>IF($B11="","",AVERAGEIFS(POS_Long,POS_Time,"&gt;="&amp;($C11+CONVERT(Variables!$C$12,"sec","day")),POS_Time,"&lt;="&amp;($D11-CONVERT(Variables!$C$12+1,"sec","day")),POS_Q,"&lt;="&amp;Variables!$C$11))</f>
        <v/>
      </c>
      <c r="I11" s="30" t="str">
        <f>IF($B11="","",AVERAGEIFS(POS_elev,POS_Time,"&gt;="&amp;($C11+CONVERT(Variables!$C$12,"sec","day")),POS_Time,"&lt;="&amp;($D11-CONVERT(Variables!$C$12+1,"sec","day")),POS_Q,"&lt;="&amp;Variables!$C$11)-S11)</f>
        <v/>
      </c>
      <c r="J11" s="26" t="str">
        <f>IF($B11="","",'Rover CSV Data'!D11)</f>
        <v/>
      </c>
      <c r="K11" s="26" t="str">
        <f>IF($B11="","",'Rover CSV Data'!C11)</f>
        <v/>
      </c>
      <c r="L11" s="26" t="str">
        <f>IF($B11="","",'Rover CSV Data'!E11)</f>
        <v/>
      </c>
      <c r="M11" s="30" t="str">
        <f>IF($B11="","",AVERAGEIFS(sdn,POS_Time,"&gt;="&amp;($C11+CONVERT(Variables!$C$12,"sec","day")),POS_Time,"&lt;="&amp;($D11-CONVERT(Variables!$C$12+1,"sec","day")),POS_Q,"&lt;="&amp;Variables!$C$11))</f>
        <v/>
      </c>
      <c r="N11" s="31" t="str">
        <f>IF($B11="","",AVERAGEIFS(sde,POS_Time,"&gt;="&amp;($C11+CONVERT(Variables!$C$12,"sec","day")),POS_Time,"&lt;="&amp;($D11-CONVERT(Variables!$C$12+1,"sec","day")),POS_Q,"&lt;="&amp;Variables!$C$11))</f>
        <v/>
      </c>
      <c r="O11" s="31" t="str">
        <f>IF($B11="","",AVERAGEIFS(sdu,POS_Time,"&gt;="&amp;($C11+CONVERT(Variables!$C$12,"sec","day")),POS_Time,"&lt;="&amp;($D11-CONVERT(Variables!$C$12+1,"sec","day")),POS_Q,"&lt;="&amp;Variables!$C$11))</f>
        <v/>
      </c>
      <c r="P11" s="32" t="str">
        <f t="array" ref="P11">IF($B11="","",STDEV(IF(POS_Time&gt;=($C11+CONVERT(Variables!$C$12,"sec","day")),IF(POS_Time&lt;=($D11-CONVERT(Variables!$C$12+1,"sec","day")),IF(POS_Q&lt;=Variables!$C$11,POS_Lat)))))</f>
        <v/>
      </c>
      <c r="Q11" s="32" t="str">
        <f t="array" ref="Q11">IF($B11="","",STDEV(IF(POS_Time&gt;=($C11+CONVERT(Variables!$C$12,"sec","day")),IF(POS_Time&lt;=($D11-CONVERT(Variables!$C$12+1,"sec","day")),IF(POS_Q&lt;=Variables!$C$11,POS_Long)))))</f>
        <v/>
      </c>
      <c r="R11" s="32" t="str">
        <f t="array" ref="R11">IF($B11="","",STDEV(IF(POS_Time&gt;=($C11+CONVERT(Variables!$C$12,"sec","day")),IF(POS_Time&lt;=($D11-CONVERT(Variables!$C$12+1,"sec","day")),IF(POS_Q&lt;=Variables!$C$11,POS_elev)))))</f>
        <v/>
      </c>
      <c r="S11" s="30" t="str">
        <f>IF($B11="","",'Rover CSV Data'!K11)</f>
        <v/>
      </c>
      <c r="T11" s="26" t="str">
        <f>IF($B11="","",COUNTIFS(POS_Time,"&gt;="&amp;($C11+CONVERT(Variables!$C$12,"sec","day")),POS_Time,"&lt;="&amp;($D11-CONVERT(Variables!$C$12+1,"sec","day")),POS_Q,"&lt;="&amp;Variables!$C$11))</f>
        <v/>
      </c>
      <c r="U11" s="26" t="str">
        <f>IF($B11="","",IF(1&gt;Variables!$C$11,0,COUNTIFS(POS_Time,"&gt;="&amp;($C11+CONVERT(Variables!$C$12,"sec","day")),POS_Time,"&lt;="&amp;($D11-CONVERT(Variables!$C$12+1,"sec","day")),POS_Q,"=1")))</f>
        <v/>
      </c>
      <c r="V11" s="26" t="str">
        <f>IF($B11="","",IF(2&gt;Variables!$C$11,0,COUNTIFS(POS_Time,"&gt;="&amp;($C11+CONVERT(Variables!$C$12,"sec","day")),POS_Time,"&lt;="&amp;($D11-CONVERT(Variables!$C$12+1,"sec","day")),POS_Q,"=2")))</f>
        <v/>
      </c>
      <c r="W11" s="26" t="str">
        <f>IF($B11="","",IF(3&gt;Variables!$C$11,0,COUNTIFS(POS_Time,"&gt;="&amp;($C11+CONVERT(Variables!$C$12,"sec","day")),POS_Time,"&lt;="&amp;($D11-CONVERT(Variables!$C$12+1,"sec","day")),POS_Q,"=3")))</f>
        <v/>
      </c>
      <c r="X11" s="26" t="str">
        <f>IF($B11="","",IF(4&gt;Variables!$C$11,0,COUNTIFS(POS_Time,"&gt;="&amp;($C11+CONVERT(Variables!$C$12,"sec","day")),POS_Time,"&lt;="&amp;($D11-CONVERT(Variables!$C$12+1,"sec","day")),POS_Q,"=4")))</f>
        <v/>
      </c>
      <c r="Y11" s="26" t="str">
        <f>IF($B11="","",IF(5&gt;Variables!$C$11,0,COUNTIFS(POS_Time,"&gt;="&amp;($C11+CONVERT(Variables!$C$12,"sec","day")),POS_Time,"&lt;="&amp;($D11-CONVERT(Variables!$C$12+1,"sec","day")),POS_Q,"=5")))</f>
        <v/>
      </c>
      <c r="Z11" s="26" t="str">
        <f>IF($B11="","",IF(6&gt;Variables!$C$11,0,COUNTIFS(POS_Time,"&gt;="&amp;($C11+CONVERT(Variables!$C$12,"sec","day")),POS_Time,"&lt;="&amp;($D11-CONVERT(Variables!$C$12+1,"sec","day")),POS_Q,"=6")))</f>
        <v/>
      </c>
    </row>
    <row r="12" spans="1:26" x14ac:dyDescent="0.25">
      <c r="A12" s="2">
        <v>11</v>
      </c>
      <c r="B12" s="27" t="str">
        <f>IF((ROW()-1)&lt;=RoverStations,'Rover CSV Data'!B12,"")</f>
        <v/>
      </c>
      <c r="C12" s="28" t="str">
        <f>IF($B12="","",DATEVALUE(LEFT('Rover CSV Data'!F12,FIND(" ",'Rover CSV Data'!F12)-1))+TIMEVALUE(MID('Rover CSV Data'!F12,LEN('Rover CSV Data'!F12)-FIND(" ",'Rover CSV Data'!F12),(FIND(" UTC",'Rover CSV Data'!F12))-(LEN('Rover CSV Data'!F12)-FIND(" ",'Rover CSV Data'!F12)))))</f>
        <v/>
      </c>
      <c r="D12" s="28" t="str">
        <f>IF($B12="","",DATEVALUE(LEFT('Rover CSV Data'!G12,FIND(" ",'Rover CSV Data'!G12)-1))+TIMEVALUE(MID('Rover CSV Data'!G12,LEN('Rover CSV Data'!G12)-FIND(" ",'Rover CSV Data'!G12),(FIND(" UTC",'Rover CSV Data'!G12))-(LEN('Rover CSV Data'!G12)-FIND(" ",'Rover CSV Data'!G12)))))</f>
        <v/>
      </c>
      <c r="E12" s="29" t="str">
        <f t="shared" si="1"/>
        <v/>
      </c>
      <c r="F12" s="26" t="str">
        <f>IF($B12="","",'Rover CSV Data'!J12)</f>
        <v/>
      </c>
      <c r="G12" s="26" t="str">
        <f>IF($B12="","",AVERAGEIFS(POS_Lat,POS_Time,"&gt;="&amp;($C12+CONVERT(Variables!$C$12,"sec","day")),POS_Time,"&lt;="&amp;($D12-CONVERT(Variables!$C$12+1,"sec","day")),POS_Q,"&lt;="&amp;Variables!$C$11))</f>
        <v/>
      </c>
      <c r="H12" s="26" t="str">
        <f>IF($B12="","",AVERAGEIFS(POS_Long,POS_Time,"&gt;="&amp;($C12+CONVERT(Variables!$C$12,"sec","day")),POS_Time,"&lt;="&amp;($D12-CONVERT(Variables!$C$12+1,"sec","day")),POS_Q,"&lt;="&amp;Variables!$C$11))</f>
        <v/>
      </c>
      <c r="I12" s="30" t="str">
        <f>IF($B12="","",AVERAGEIFS(POS_elev,POS_Time,"&gt;="&amp;($C12+CONVERT(Variables!$C$12,"sec","day")),POS_Time,"&lt;="&amp;($D12-CONVERT(Variables!$C$12+1,"sec","day")),POS_Q,"&lt;="&amp;Variables!$C$11)-S12)</f>
        <v/>
      </c>
      <c r="J12" s="26" t="str">
        <f>IF($B12="","",'Rover CSV Data'!D12)</f>
        <v/>
      </c>
      <c r="K12" s="26" t="str">
        <f>IF($B12="","",'Rover CSV Data'!C12)</f>
        <v/>
      </c>
      <c r="L12" s="26" t="str">
        <f>IF($B12="","",'Rover CSV Data'!E12)</f>
        <v/>
      </c>
      <c r="M12" s="30" t="str">
        <f>IF($B12="","",AVERAGEIFS(sdn,POS_Time,"&gt;="&amp;($C12+CONVERT(Variables!$C$12,"sec","day")),POS_Time,"&lt;="&amp;($D12-CONVERT(Variables!$C$12+1,"sec","day")),POS_Q,"&lt;="&amp;Variables!$C$11))</f>
        <v/>
      </c>
      <c r="N12" s="31" t="str">
        <f>IF($B12="","",AVERAGEIFS(sde,POS_Time,"&gt;="&amp;($C12+CONVERT(Variables!$C$12,"sec","day")),POS_Time,"&lt;="&amp;($D12-CONVERT(Variables!$C$12+1,"sec","day")),POS_Q,"&lt;="&amp;Variables!$C$11))</f>
        <v/>
      </c>
      <c r="O12" s="31" t="str">
        <f>IF($B12="","",AVERAGEIFS(sdu,POS_Time,"&gt;="&amp;($C12+CONVERT(Variables!$C$12,"sec","day")),POS_Time,"&lt;="&amp;($D12-CONVERT(Variables!$C$12+1,"sec","day")),POS_Q,"&lt;="&amp;Variables!$C$11))</f>
        <v/>
      </c>
      <c r="P12" s="32" t="str">
        <f t="array" ref="P12">IF($B12="","",STDEV(IF(POS_Time&gt;=($C12+CONVERT(Variables!$C$12,"sec","day")),IF(POS_Time&lt;=($D12-CONVERT(Variables!$C$12+1,"sec","day")),IF(POS_Q&lt;=Variables!$C$11,POS_Lat)))))</f>
        <v/>
      </c>
      <c r="Q12" s="32" t="str">
        <f t="array" ref="Q12">IF($B12="","",STDEV(IF(POS_Time&gt;=($C12+CONVERT(Variables!$C$12,"sec","day")),IF(POS_Time&lt;=($D12-CONVERT(Variables!$C$12+1,"sec","day")),IF(POS_Q&lt;=Variables!$C$11,POS_Long)))))</f>
        <v/>
      </c>
      <c r="R12" s="32" t="str">
        <f t="array" ref="R12">IF($B12="","",STDEV(IF(POS_Time&gt;=($C12+CONVERT(Variables!$C$12,"sec","day")),IF(POS_Time&lt;=($D12-CONVERT(Variables!$C$12+1,"sec","day")),IF(POS_Q&lt;=Variables!$C$11,POS_elev)))))</f>
        <v/>
      </c>
      <c r="S12" s="30" t="str">
        <f>IF($B12="","",'Rover CSV Data'!K12)</f>
        <v/>
      </c>
      <c r="T12" s="26" t="str">
        <f>IF($B12="","",COUNTIFS(POS_Time,"&gt;="&amp;($C12+CONVERT(Variables!$C$12,"sec","day")),POS_Time,"&lt;="&amp;($D12-CONVERT(Variables!$C$12+1,"sec","day")),POS_Q,"&lt;="&amp;Variables!$C$11))</f>
        <v/>
      </c>
      <c r="U12" s="26" t="str">
        <f>IF($B12="","",IF(1&gt;Variables!$C$11,0,COUNTIFS(POS_Time,"&gt;="&amp;($C12+CONVERT(Variables!$C$12,"sec","day")),POS_Time,"&lt;="&amp;($D12-CONVERT(Variables!$C$12+1,"sec","day")),POS_Q,"=1")))</f>
        <v/>
      </c>
      <c r="V12" s="26" t="str">
        <f>IF($B12="","",IF(2&gt;Variables!$C$11,0,COUNTIFS(POS_Time,"&gt;="&amp;($C12+CONVERT(Variables!$C$12,"sec","day")),POS_Time,"&lt;="&amp;($D12-CONVERT(Variables!$C$12+1,"sec","day")),POS_Q,"=2")))</f>
        <v/>
      </c>
      <c r="W12" s="26" t="str">
        <f>IF($B12="","",IF(3&gt;Variables!$C$11,0,COUNTIFS(POS_Time,"&gt;="&amp;($C12+CONVERT(Variables!$C$12,"sec","day")),POS_Time,"&lt;="&amp;($D12-CONVERT(Variables!$C$12+1,"sec","day")),POS_Q,"=3")))</f>
        <v/>
      </c>
      <c r="X12" s="26" t="str">
        <f>IF($B12="","",IF(4&gt;Variables!$C$11,0,COUNTIFS(POS_Time,"&gt;="&amp;($C12+CONVERT(Variables!$C$12,"sec","day")),POS_Time,"&lt;="&amp;($D12-CONVERT(Variables!$C$12+1,"sec","day")),POS_Q,"=4")))</f>
        <v/>
      </c>
      <c r="Y12" s="26" t="str">
        <f>IF($B12="","",IF(5&gt;Variables!$C$11,0,COUNTIFS(POS_Time,"&gt;="&amp;($C12+CONVERT(Variables!$C$12,"sec","day")),POS_Time,"&lt;="&amp;($D12-CONVERT(Variables!$C$12+1,"sec","day")),POS_Q,"=5")))</f>
        <v/>
      </c>
      <c r="Z12" s="26" t="str">
        <f>IF($B12="","",IF(6&gt;Variables!$C$11,0,COUNTIFS(POS_Time,"&gt;="&amp;($C12+CONVERT(Variables!$C$12,"sec","day")),POS_Time,"&lt;="&amp;($D12-CONVERT(Variables!$C$12+1,"sec","day")),POS_Q,"=6")))</f>
        <v/>
      </c>
    </row>
    <row r="13" spans="1:26" x14ac:dyDescent="0.25">
      <c r="A13" s="2">
        <v>12</v>
      </c>
      <c r="B13" s="27" t="str">
        <f>IF((ROW()-1)&lt;=RoverStations,'Rover CSV Data'!B13,"")</f>
        <v/>
      </c>
      <c r="C13" s="28" t="str">
        <f>IF($B13="","",DATEVALUE(LEFT('Rover CSV Data'!F13,FIND(" ",'Rover CSV Data'!F13)-1))+TIMEVALUE(MID('Rover CSV Data'!F13,LEN('Rover CSV Data'!F13)-FIND(" ",'Rover CSV Data'!F13),(FIND(" UTC",'Rover CSV Data'!F13))-(LEN('Rover CSV Data'!F13)-FIND(" ",'Rover CSV Data'!F13)))))</f>
        <v/>
      </c>
      <c r="D13" s="28" t="str">
        <f>IF($B13="","",DATEVALUE(LEFT('Rover CSV Data'!G13,FIND(" ",'Rover CSV Data'!G13)-1))+TIMEVALUE(MID('Rover CSV Data'!G13,LEN('Rover CSV Data'!G13)-FIND(" ",'Rover CSV Data'!G13),(FIND(" UTC",'Rover CSV Data'!G13))-(LEN('Rover CSV Data'!G13)-FIND(" ",'Rover CSV Data'!G13)))))</f>
        <v/>
      </c>
      <c r="E13" s="29" t="str">
        <f t="shared" si="1"/>
        <v/>
      </c>
      <c r="F13" s="26" t="str">
        <f>IF($B13="","",'Rover CSV Data'!J13)</f>
        <v/>
      </c>
      <c r="G13" s="26" t="str">
        <f>IF($B13="","",AVERAGEIFS(POS_Lat,POS_Time,"&gt;="&amp;($C13+CONVERT(Variables!$C$12,"sec","day")),POS_Time,"&lt;="&amp;($D13-CONVERT(Variables!$C$12+1,"sec","day")),POS_Q,"&lt;="&amp;Variables!$C$11))</f>
        <v/>
      </c>
      <c r="H13" s="26" t="str">
        <f>IF($B13="","",AVERAGEIFS(POS_Long,POS_Time,"&gt;="&amp;($C13+CONVERT(Variables!$C$12,"sec","day")),POS_Time,"&lt;="&amp;($D13-CONVERT(Variables!$C$12+1,"sec","day")),POS_Q,"&lt;="&amp;Variables!$C$11))</f>
        <v/>
      </c>
      <c r="I13" s="30" t="str">
        <f>IF($B13="","",AVERAGEIFS(POS_elev,POS_Time,"&gt;="&amp;($C13+CONVERT(Variables!$C$12,"sec","day")),POS_Time,"&lt;="&amp;($D13-CONVERT(Variables!$C$12+1,"sec","day")),POS_Q,"&lt;="&amp;Variables!$C$11)-S13)</f>
        <v/>
      </c>
      <c r="J13" s="26" t="str">
        <f>IF($B13="","",'Rover CSV Data'!D13)</f>
        <v/>
      </c>
      <c r="K13" s="26" t="str">
        <f>IF($B13="","",'Rover CSV Data'!C13)</f>
        <v/>
      </c>
      <c r="L13" s="26" t="str">
        <f>IF($B13="","",'Rover CSV Data'!E13)</f>
        <v/>
      </c>
      <c r="M13" s="30" t="str">
        <f>IF($B13="","",AVERAGEIFS(sdn,POS_Time,"&gt;="&amp;($C13+CONVERT(Variables!$C$12,"sec","day")),POS_Time,"&lt;="&amp;($D13-CONVERT(Variables!$C$12+1,"sec","day")),POS_Q,"&lt;="&amp;Variables!$C$11))</f>
        <v/>
      </c>
      <c r="N13" s="31" t="str">
        <f>IF($B13="","",AVERAGEIFS(sde,POS_Time,"&gt;="&amp;($C13+CONVERT(Variables!$C$12,"sec","day")),POS_Time,"&lt;="&amp;($D13-CONVERT(Variables!$C$12+1,"sec","day")),POS_Q,"&lt;="&amp;Variables!$C$11))</f>
        <v/>
      </c>
      <c r="O13" s="31" t="str">
        <f>IF($B13="","",AVERAGEIFS(sdu,POS_Time,"&gt;="&amp;($C13+CONVERT(Variables!$C$12,"sec","day")),POS_Time,"&lt;="&amp;($D13-CONVERT(Variables!$C$12+1,"sec","day")),POS_Q,"&lt;="&amp;Variables!$C$11))</f>
        <v/>
      </c>
      <c r="P13" s="32" t="str">
        <f t="array" ref="P13">IF($B13="","",STDEV(IF(POS_Time&gt;=($C13+CONVERT(Variables!$C$12,"sec","day")),IF(POS_Time&lt;=($D13-CONVERT(Variables!$C$12+1,"sec","day")),IF(POS_Q&lt;=Variables!$C$11,POS_Lat)))))</f>
        <v/>
      </c>
      <c r="Q13" s="32" t="str">
        <f t="array" ref="Q13">IF($B13="","",STDEV(IF(POS_Time&gt;=($C13+CONVERT(Variables!$C$12,"sec","day")),IF(POS_Time&lt;=($D13-CONVERT(Variables!$C$12+1,"sec","day")),IF(POS_Q&lt;=Variables!$C$11,POS_Long)))))</f>
        <v/>
      </c>
      <c r="R13" s="32" t="str">
        <f t="array" ref="R13">IF($B13="","",STDEV(IF(POS_Time&gt;=($C13+CONVERT(Variables!$C$12,"sec","day")),IF(POS_Time&lt;=($D13-CONVERT(Variables!$C$12+1,"sec","day")),IF(POS_Q&lt;=Variables!$C$11,POS_elev)))))</f>
        <v/>
      </c>
      <c r="S13" s="30" t="str">
        <f>IF($B13="","",'Rover CSV Data'!K13)</f>
        <v/>
      </c>
      <c r="T13" s="26" t="str">
        <f>IF($B13="","",COUNTIFS(POS_Time,"&gt;="&amp;($C13+CONVERT(Variables!$C$12,"sec","day")),POS_Time,"&lt;="&amp;($D13-CONVERT(Variables!$C$12+1,"sec","day")),POS_Q,"&lt;="&amp;Variables!$C$11))</f>
        <v/>
      </c>
      <c r="U13" s="26" t="str">
        <f>IF($B13="","",IF(1&gt;Variables!$C$11,0,COUNTIFS(POS_Time,"&gt;="&amp;($C13+CONVERT(Variables!$C$12,"sec","day")),POS_Time,"&lt;="&amp;($D13-CONVERT(Variables!$C$12+1,"sec","day")),POS_Q,"=1")))</f>
        <v/>
      </c>
      <c r="V13" s="26" t="str">
        <f>IF($B13="","",IF(2&gt;Variables!$C$11,0,COUNTIFS(POS_Time,"&gt;="&amp;($C13+CONVERT(Variables!$C$12,"sec","day")),POS_Time,"&lt;="&amp;($D13-CONVERT(Variables!$C$12+1,"sec","day")),POS_Q,"=2")))</f>
        <v/>
      </c>
      <c r="W13" s="26" t="str">
        <f>IF($B13="","",IF(3&gt;Variables!$C$11,0,COUNTIFS(POS_Time,"&gt;="&amp;($C13+CONVERT(Variables!$C$12,"sec","day")),POS_Time,"&lt;="&amp;($D13-CONVERT(Variables!$C$12+1,"sec","day")),POS_Q,"=3")))</f>
        <v/>
      </c>
      <c r="X13" s="26" t="str">
        <f>IF($B13="","",IF(4&gt;Variables!$C$11,0,COUNTIFS(POS_Time,"&gt;="&amp;($C13+CONVERT(Variables!$C$12,"sec","day")),POS_Time,"&lt;="&amp;($D13-CONVERT(Variables!$C$12+1,"sec","day")),POS_Q,"=4")))</f>
        <v/>
      </c>
      <c r="Y13" s="26" t="str">
        <f>IF($B13="","",IF(5&gt;Variables!$C$11,0,COUNTIFS(POS_Time,"&gt;="&amp;($C13+CONVERT(Variables!$C$12,"sec","day")),POS_Time,"&lt;="&amp;($D13-CONVERT(Variables!$C$12+1,"sec","day")),POS_Q,"=5")))</f>
        <v/>
      </c>
      <c r="Z13" s="26" t="str">
        <f>IF($B13="","",IF(6&gt;Variables!$C$11,0,COUNTIFS(POS_Time,"&gt;="&amp;($C13+CONVERT(Variables!$C$12,"sec","day")),POS_Time,"&lt;="&amp;($D13-CONVERT(Variables!$C$12+1,"sec","day")),POS_Q,"=6")))</f>
        <v/>
      </c>
    </row>
    <row r="14" spans="1:26" x14ac:dyDescent="0.25">
      <c r="A14" s="2">
        <v>13</v>
      </c>
      <c r="B14" s="27" t="str">
        <f>IF((ROW()-1)&lt;=RoverStations,'Rover CSV Data'!B14,"")</f>
        <v/>
      </c>
      <c r="C14" s="28" t="str">
        <f>IF($B14="","",DATEVALUE(LEFT('Rover CSV Data'!F14,FIND(" ",'Rover CSV Data'!F14)-1))+TIMEVALUE(MID('Rover CSV Data'!F14,LEN('Rover CSV Data'!F14)-FIND(" ",'Rover CSV Data'!F14),(FIND(" UTC",'Rover CSV Data'!F14))-(LEN('Rover CSV Data'!F14)-FIND(" ",'Rover CSV Data'!F14)))))</f>
        <v/>
      </c>
      <c r="D14" s="28" t="str">
        <f>IF($B14="","",DATEVALUE(LEFT('Rover CSV Data'!G14,FIND(" ",'Rover CSV Data'!G14)-1))+TIMEVALUE(MID('Rover CSV Data'!G14,LEN('Rover CSV Data'!G14)-FIND(" ",'Rover CSV Data'!G14),(FIND(" UTC",'Rover CSV Data'!G14))-(LEN('Rover CSV Data'!G14)-FIND(" ",'Rover CSV Data'!G14)))))</f>
        <v/>
      </c>
      <c r="E14" s="29" t="str">
        <f t="shared" si="1"/>
        <v/>
      </c>
      <c r="F14" s="26" t="str">
        <f>IF($B14="","",'Rover CSV Data'!J14)</f>
        <v/>
      </c>
      <c r="G14" s="26" t="str">
        <f>IF($B14="","",AVERAGEIFS(POS_Lat,POS_Time,"&gt;="&amp;($C14+CONVERT(Variables!$C$12,"sec","day")),POS_Time,"&lt;="&amp;($D14-CONVERT(Variables!$C$12+1,"sec","day")),POS_Q,"&lt;="&amp;Variables!$C$11))</f>
        <v/>
      </c>
      <c r="H14" s="26" t="str">
        <f>IF($B14="","",AVERAGEIFS(POS_Long,POS_Time,"&gt;="&amp;($C14+CONVERT(Variables!$C$12,"sec","day")),POS_Time,"&lt;="&amp;($D14-CONVERT(Variables!$C$12+1,"sec","day")),POS_Q,"&lt;="&amp;Variables!$C$11))</f>
        <v/>
      </c>
      <c r="I14" s="30" t="str">
        <f>IF($B14="","",AVERAGEIFS(POS_elev,POS_Time,"&gt;="&amp;($C14+CONVERT(Variables!$C$12,"sec","day")),POS_Time,"&lt;="&amp;($D14-CONVERT(Variables!$C$12+1,"sec","day")),POS_Q,"&lt;="&amp;Variables!$C$11)-S14)</f>
        <v/>
      </c>
      <c r="J14" s="26" t="str">
        <f>IF($B14="","",'Rover CSV Data'!D14)</f>
        <v/>
      </c>
      <c r="K14" s="26" t="str">
        <f>IF($B14="","",'Rover CSV Data'!C14)</f>
        <v/>
      </c>
      <c r="L14" s="26" t="str">
        <f>IF($B14="","",'Rover CSV Data'!E14)</f>
        <v/>
      </c>
      <c r="M14" s="30" t="str">
        <f>IF($B14="","",AVERAGEIFS(sdn,POS_Time,"&gt;="&amp;($C14+CONVERT(Variables!$C$12,"sec","day")),POS_Time,"&lt;="&amp;($D14-CONVERT(Variables!$C$12+1,"sec","day")),POS_Q,"&lt;="&amp;Variables!$C$11))</f>
        <v/>
      </c>
      <c r="N14" s="31" t="str">
        <f>IF($B14="","",AVERAGEIFS(sde,POS_Time,"&gt;="&amp;($C14+CONVERT(Variables!$C$12,"sec","day")),POS_Time,"&lt;="&amp;($D14-CONVERT(Variables!$C$12+1,"sec","day")),POS_Q,"&lt;="&amp;Variables!$C$11))</f>
        <v/>
      </c>
      <c r="O14" s="31" t="str">
        <f>IF($B14="","",AVERAGEIFS(sdu,POS_Time,"&gt;="&amp;($C14+CONVERT(Variables!$C$12,"sec","day")),POS_Time,"&lt;="&amp;($D14-CONVERT(Variables!$C$12+1,"sec","day")),POS_Q,"&lt;="&amp;Variables!$C$11))</f>
        <v/>
      </c>
      <c r="P14" s="32" t="str">
        <f t="array" ref="P14">IF($B14="","",STDEV(IF(POS_Time&gt;=($C14+CONVERT(Variables!$C$12,"sec","day")),IF(POS_Time&lt;=($D14-CONVERT(Variables!$C$12+1,"sec","day")),IF(POS_Q&lt;=Variables!$C$11,POS_Lat)))))</f>
        <v/>
      </c>
      <c r="Q14" s="32" t="str">
        <f t="array" ref="Q14">IF($B14="","",STDEV(IF(POS_Time&gt;=($C14+CONVERT(Variables!$C$12,"sec","day")),IF(POS_Time&lt;=($D14-CONVERT(Variables!$C$12+1,"sec","day")),IF(POS_Q&lt;=Variables!$C$11,POS_Long)))))</f>
        <v/>
      </c>
      <c r="R14" s="32" t="str">
        <f t="array" ref="R14">IF($B14="","",STDEV(IF(POS_Time&gt;=($C14+CONVERT(Variables!$C$12,"sec","day")),IF(POS_Time&lt;=($D14-CONVERT(Variables!$C$12+1,"sec","day")),IF(POS_Q&lt;=Variables!$C$11,POS_elev)))))</f>
        <v/>
      </c>
      <c r="S14" s="30" t="str">
        <f>IF($B14="","",'Rover CSV Data'!K14)</f>
        <v/>
      </c>
      <c r="T14" s="26" t="str">
        <f>IF($B14="","",COUNTIFS(POS_Time,"&gt;="&amp;($C14+CONVERT(Variables!$C$12,"sec","day")),POS_Time,"&lt;="&amp;($D14-CONVERT(Variables!$C$12+1,"sec","day")),POS_Q,"&lt;="&amp;Variables!$C$11))</f>
        <v/>
      </c>
      <c r="U14" s="26" t="str">
        <f>IF($B14="","",IF(1&gt;Variables!$C$11,0,COUNTIFS(POS_Time,"&gt;="&amp;($C14+CONVERT(Variables!$C$12,"sec","day")),POS_Time,"&lt;="&amp;($D14-CONVERT(Variables!$C$12+1,"sec","day")),POS_Q,"=1")))</f>
        <v/>
      </c>
      <c r="V14" s="26" t="str">
        <f>IF($B14="","",IF(2&gt;Variables!$C$11,0,COUNTIFS(POS_Time,"&gt;="&amp;($C14+CONVERT(Variables!$C$12,"sec","day")),POS_Time,"&lt;="&amp;($D14-CONVERT(Variables!$C$12+1,"sec","day")),POS_Q,"=2")))</f>
        <v/>
      </c>
      <c r="W14" s="26" t="str">
        <f>IF($B14="","",IF(3&gt;Variables!$C$11,0,COUNTIFS(POS_Time,"&gt;="&amp;($C14+CONVERT(Variables!$C$12,"sec","day")),POS_Time,"&lt;="&amp;($D14-CONVERT(Variables!$C$12+1,"sec","day")),POS_Q,"=3")))</f>
        <v/>
      </c>
      <c r="X14" s="26" t="str">
        <f>IF($B14="","",IF(4&gt;Variables!$C$11,0,COUNTIFS(POS_Time,"&gt;="&amp;($C14+CONVERT(Variables!$C$12,"sec","day")),POS_Time,"&lt;="&amp;($D14-CONVERT(Variables!$C$12+1,"sec","day")),POS_Q,"=4")))</f>
        <v/>
      </c>
      <c r="Y14" s="26" t="str">
        <f>IF($B14="","",IF(5&gt;Variables!$C$11,0,COUNTIFS(POS_Time,"&gt;="&amp;($C14+CONVERT(Variables!$C$12,"sec","day")),POS_Time,"&lt;="&amp;($D14-CONVERT(Variables!$C$12+1,"sec","day")),POS_Q,"=5")))</f>
        <v/>
      </c>
      <c r="Z14" s="26" t="str">
        <f>IF($B14="","",IF(6&gt;Variables!$C$11,0,COUNTIFS(POS_Time,"&gt;="&amp;($C14+CONVERT(Variables!$C$12,"sec","day")),POS_Time,"&lt;="&amp;($D14-CONVERT(Variables!$C$12+1,"sec","day")),POS_Q,"=6")))</f>
        <v/>
      </c>
    </row>
    <row r="15" spans="1:26" x14ac:dyDescent="0.25">
      <c r="A15" s="2">
        <v>14</v>
      </c>
      <c r="B15" s="27" t="str">
        <f>IF((ROW()-1)&lt;=RoverStations,'Rover CSV Data'!B15,"")</f>
        <v/>
      </c>
      <c r="C15" s="28" t="str">
        <f>IF($B15="","",DATEVALUE(LEFT('Rover CSV Data'!F15,FIND(" ",'Rover CSV Data'!F15)-1))+TIMEVALUE(MID('Rover CSV Data'!F15,LEN('Rover CSV Data'!F15)-FIND(" ",'Rover CSV Data'!F15),(FIND(" UTC",'Rover CSV Data'!F15))-(LEN('Rover CSV Data'!F15)-FIND(" ",'Rover CSV Data'!F15)))))</f>
        <v/>
      </c>
      <c r="D15" s="28" t="str">
        <f>IF($B15="","",DATEVALUE(LEFT('Rover CSV Data'!G15,FIND(" ",'Rover CSV Data'!G15)-1))+TIMEVALUE(MID('Rover CSV Data'!G15,LEN('Rover CSV Data'!G15)-FIND(" ",'Rover CSV Data'!G15),(FIND(" UTC",'Rover CSV Data'!G15))-(LEN('Rover CSV Data'!G15)-FIND(" ",'Rover CSV Data'!G15)))))</f>
        <v/>
      </c>
      <c r="E15" s="29" t="str">
        <f t="shared" si="1"/>
        <v/>
      </c>
      <c r="F15" s="26" t="str">
        <f>IF($B15="","",'Rover CSV Data'!J15)</f>
        <v/>
      </c>
      <c r="G15" s="26" t="str">
        <f>IF($B15="","",AVERAGEIFS(POS_Lat,POS_Time,"&gt;="&amp;($C15+CONVERT(Variables!$C$12,"sec","day")),POS_Time,"&lt;="&amp;($D15-CONVERT(Variables!$C$12+1,"sec","day")),POS_Q,"&lt;="&amp;Variables!$C$11))</f>
        <v/>
      </c>
      <c r="H15" s="26" t="str">
        <f>IF($B15="","",AVERAGEIFS(POS_Long,POS_Time,"&gt;="&amp;($C15+CONVERT(Variables!$C$12,"sec","day")),POS_Time,"&lt;="&amp;($D15-CONVERT(Variables!$C$12+1,"sec","day")),POS_Q,"&lt;="&amp;Variables!$C$11))</f>
        <v/>
      </c>
      <c r="I15" s="30" t="str">
        <f>IF($B15="","",AVERAGEIFS(POS_elev,POS_Time,"&gt;="&amp;($C15+CONVERT(Variables!$C$12,"sec","day")),POS_Time,"&lt;="&amp;($D15-CONVERT(Variables!$C$12+1,"sec","day")),POS_Q,"&lt;="&amp;Variables!$C$11)-S15)</f>
        <v/>
      </c>
      <c r="J15" s="26" t="str">
        <f>IF($B15="","",'Rover CSV Data'!D15)</f>
        <v/>
      </c>
      <c r="K15" s="26" t="str">
        <f>IF($B15="","",'Rover CSV Data'!C15)</f>
        <v/>
      </c>
      <c r="L15" s="26" t="str">
        <f>IF($B15="","",'Rover CSV Data'!E15)</f>
        <v/>
      </c>
      <c r="M15" s="30" t="str">
        <f>IF($B15="","",AVERAGEIFS(sdn,POS_Time,"&gt;="&amp;($C15+CONVERT(Variables!$C$12,"sec","day")),POS_Time,"&lt;="&amp;($D15-CONVERT(Variables!$C$12+1,"sec","day")),POS_Q,"&lt;="&amp;Variables!$C$11))</f>
        <v/>
      </c>
      <c r="N15" s="31" t="str">
        <f>IF($B15="","",AVERAGEIFS(sde,POS_Time,"&gt;="&amp;($C15+CONVERT(Variables!$C$12,"sec","day")),POS_Time,"&lt;="&amp;($D15-CONVERT(Variables!$C$12+1,"sec","day")),POS_Q,"&lt;="&amp;Variables!$C$11))</f>
        <v/>
      </c>
      <c r="O15" s="31" t="str">
        <f>IF($B15="","",AVERAGEIFS(sdu,POS_Time,"&gt;="&amp;($C15+CONVERT(Variables!$C$12,"sec","day")),POS_Time,"&lt;="&amp;($D15-CONVERT(Variables!$C$12+1,"sec","day")),POS_Q,"&lt;="&amp;Variables!$C$11))</f>
        <v/>
      </c>
      <c r="P15" s="32" t="str">
        <f t="array" ref="P15">IF($B15="","",STDEV(IF(POS_Time&gt;=($C15+CONVERT(Variables!$C$12,"sec","day")),IF(POS_Time&lt;=($D15-CONVERT(Variables!$C$12+1,"sec","day")),IF(POS_Q&lt;=Variables!$C$11,POS_Lat)))))</f>
        <v/>
      </c>
      <c r="Q15" s="32" t="str">
        <f t="array" ref="Q15">IF($B15="","",STDEV(IF(POS_Time&gt;=($C15+CONVERT(Variables!$C$12,"sec","day")),IF(POS_Time&lt;=($D15-CONVERT(Variables!$C$12+1,"sec","day")),IF(POS_Q&lt;=Variables!$C$11,POS_Long)))))</f>
        <v/>
      </c>
      <c r="R15" s="32" t="str">
        <f t="array" ref="R15">IF($B15="","",STDEV(IF(POS_Time&gt;=($C15+CONVERT(Variables!$C$12,"sec","day")),IF(POS_Time&lt;=($D15-CONVERT(Variables!$C$12+1,"sec","day")),IF(POS_Q&lt;=Variables!$C$11,POS_elev)))))</f>
        <v/>
      </c>
      <c r="S15" s="30" t="str">
        <f>IF($B15="","",'Rover CSV Data'!K15)</f>
        <v/>
      </c>
      <c r="T15" s="26" t="str">
        <f>IF($B15="","",COUNTIFS(POS_Time,"&gt;="&amp;($C15+CONVERT(Variables!$C$12,"sec","day")),POS_Time,"&lt;="&amp;($D15-CONVERT(Variables!$C$12+1,"sec","day")),POS_Q,"&lt;="&amp;Variables!$C$11))</f>
        <v/>
      </c>
      <c r="U15" s="26" t="str">
        <f>IF($B15="","",IF(1&gt;Variables!$C$11,0,COUNTIFS(POS_Time,"&gt;="&amp;($C15+CONVERT(Variables!$C$12,"sec","day")),POS_Time,"&lt;="&amp;($D15-CONVERT(Variables!$C$12+1,"sec","day")),POS_Q,"=1")))</f>
        <v/>
      </c>
      <c r="V15" s="26" t="str">
        <f>IF($B15="","",IF(2&gt;Variables!$C$11,0,COUNTIFS(POS_Time,"&gt;="&amp;($C15+CONVERT(Variables!$C$12,"sec","day")),POS_Time,"&lt;="&amp;($D15-CONVERT(Variables!$C$12+1,"sec","day")),POS_Q,"=2")))</f>
        <v/>
      </c>
      <c r="W15" s="26" t="str">
        <f>IF($B15="","",IF(3&gt;Variables!$C$11,0,COUNTIFS(POS_Time,"&gt;="&amp;($C15+CONVERT(Variables!$C$12,"sec","day")),POS_Time,"&lt;="&amp;($D15-CONVERT(Variables!$C$12+1,"sec","day")),POS_Q,"=3")))</f>
        <v/>
      </c>
      <c r="X15" s="26" t="str">
        <f>IF($B15="","",IF(4&gt;Variables!$C$11,0,COUNTIFS(POS_Time,"&gt;="&amp;($C15+CONVERT(Variables!$C$12,"sec","day")),POS_Time,"&lt;="&amp;($D15-CONVERT(Variables!$C$12+1,"sec","day")),POS_Q,"=4")))</f>
        <v/>
      </c>
      <c r="Y15" s="26" t="str">
        <f>IF($B15="","",IF(5&gt;Variables!$C$11,0,COUNTIFS(POS_Time,"&gt;="&amp;($C15+CONVERT(Variables!$C$12,"sec","day")),POS_Time,"&lt;="&amp;($D15-CONVERT(Variables!$C$12+1,"sec","day")),POS_Q,"=5")))</f>
        <v/>
      </c>
      <c r="Z15" s="26" t="str">
        <f>IF($B15="","",IF(6&gt;Variables!$C$11,0,COUNTIFS(POS_Time,"&gt;="&amp;($C15+CONVERT(Variables!$C$12,"sec","day")),POS_Time,"&lt;="&amp;($D15-CONVERT(Variables!$C$12+1,"sec","day")),POS_Q,"=6")))</f>
        <v/>
      </c>
    </row>
    <row r="16" spans="1:26" x14ac:dyDescent="0.25">
      <c r="A16" s="2">
        <v>15</v>
      </c>
      <c r="B16" s="27" t="str">
        <f>IF((ROW()-1)&lt;=RoverStations,'Rover CSV Data'!B16,"")</f>
        <v/>
      </c>
      <c r="C16" s="28" t="str">
        <f>IF($B16="","",DATEVALUE(LEFT('Rover CSV Data'!F16,FIND(" ",'Rover CSV Data'!F16)-1))+TIMEVALUE(MID('Rover CSV Data'!F16,LEN('Rover CSV Data'!F16)-FIND(" ",'Rover CSV Data'!F16),(FIND(" UTC",'Rover CSV Data'!F16))-(LEN('Rover CSV Data'!F16)-FIND(" ",'Rover CSV Data'!F16)))))</f>
        <v/>
      </c>
      <c r="D16" s="28" t="str">
        <f>IF($B16="","",DATEVALUE(LEFT('Rover CSV Data'!G16,FIND(" ",'Rover CSV Data'!G16)-1))+TIMEVALUE(MID('Rover CSV Data'!G16,LEN('Rover CSV Data'!G16)-FIND(" ",'Rover CSV Data'!G16),(FIND(" UTC",'Rover CSV Data'!G16))-(LEN('Rover CSV Data'!G16)-FIND(" ",'Rover CSV Data'!G16)))))</f>
        <v/>
      </c>
      <c r="E16" s="29" t="str">
        <f t="shared" si="1"/>
        <v/>
      </c>
      <c r="F16" s="26" t="str">
        <f>IF($B16="","",'Rover CSV Data'!J16)</f>
        <v/>
      </c>
      <c r="G16" s="26" t="str">
        <f>IF($B16="","",AVERAGEIFS(POS_Lat,POS_Time,"&gt;="&amp;($C16+CONVERT(Variables!$C$12,"sec","day")),POS_Time,"&lt;="&amp;($D16-CONVERT(Variables!$C$12+1,"sec","day")),POS_Q,"&lt;="&amp;Variables!$C$11))</f>
        <v/>
      </c>
      <c r="H16" s="26" t="str">
        <f>IF($B16="","",AVERAGEIFS(POS_Long,POS_Time,"&gt;="&amp;($C16+CONVERT(Variables!$C$12,"sec","day")),POS_Time,"&lt;="&amp;($D16-CONVERT(Variables!$C$12+1,"sec","day")),POS_Q,"&lt;="&amp;Variables!$C$11))</f>
        <v/>
      </c>
      <c r="I16" s="30" t="str">
        <f>IF($B16="","",AVERAGEIFS(POS_elev,POS_Time,"&gt;="&amp;($C16+CONVERT(Variables!$C$12,"sec","day")),POS_Time,"&lt;="&amp;($D16-CONVERT(Variables!$C$12+1,"sec","day")),POS_Q,"&lt;="&amp;Variables!$C$11)-S16)</f>
        <v/>
      </c>
      <c r="J16" s="26" t="str">
        <f>IF($B16="","",'Rover CSV Data'!D16)</f>
        <v/>
      </c>
      <c r="K16" s="26" t="str">
        <f>IF($B16="","",'Rover CSV Data'!C16)</f>
        <v/>
      </c>
      <c r="L16" s="26" t="str">
        <f>IF($B16="","",'Rover CSV Data'!E16)</f>
        <v/>
      </c>
      <c r="M16" s="30" t="str">
        <f>IF($B16="","",AVERAGEIFS(sdn,POS_Time,"&gt;="&amp;($C16+CONVERT(Variables!$C$12,"sec","day")),POS_Time,"&lt;="&amp;($D16-CONVERT(Variables!$C$12+1,"sec","day")),POS_Q,"&lt;="&amp;Variables!$C$11))</f>
        <v/>
      </c>
      <c r="N16" s="31" t="str">
        <f>IF($B16="","",AVERAGEIFS(sde,POS_Time,"&gt;="&amp;($C16+CONVERT(Variables!$C$12,"sec","day")),POS_Time,"&lt;="&amp;($D16-CONVERT(Variables!$C$12+1,"sec","day")),POS_Q,"&lt;="&amp;Variables!$C$11))</f>
        <v/>
      </c>
      <c r="O16" s="31" t="str">
        <f>IF($B16="","",AVERAGEIFS(sdu,POS_Time,"&gt;="&amp;($C16+CONVERT(Variables!$C$12,"sec","day")),POS_Time,"&lt;="&amp;($D16-CONVERT(Variables!$C$12+1,"sec","day")),POS_Q,"&lt;="&amp;Variables!$C$11))</f>
        <v/>
      </c>
      <c r="P16" s="32" t="str">
        <f t="array" ref="P16">IF($B16="","",STDEV(IF(POS_Time&gt;=($C16+CONVERT(Variables!$C$12,"sec","day")),IF(POS_Time&lt;=($D16-CONVERT(Variables!$C$12+1,"sec","day")),IF(POS_Q&lt;=Variables!$C$11,POS_Lat)))))</f>
        <v/>
      </c>
      <c r="Q16" s="32" t="str">
        <f t="array" ref="Q16">IF($B16="","",STDEV(IF(POS_Time&gt;=($C16+CONVERT(Variables!$C$12,"sec","day")),IF(POS_Time&lt;=($D16-CONVERT(Variables!$C$12+1,"sec","day")),IF(POS_Q&lt;=Variables!$C$11,POS_Long)))))</f>
        <v/>
      </c>
      <c r="R16" s="32" t="str">
        <f t="array" ref="R16">IF($B16="","",STDEV(IF(POS_Time&gt;=($C16+CONVERT(Variables!$C$12,"sec","day")),IF(POS_Time&lt;=($D16-CONVERT(Variables!$C$12+1,"sec","day")),IF(POS_Q&lt;=Variables!$C$11,POS_elev)))))</f>
        <v/>
      </c>
      <c r="S16" s="30" t="str">
        <f>IF($B16="","",'Rover CSV Data'!K16)</f>
        <v/>
      </c>
      <c r="T16" s="26" t="str">
        <f>IF($B16="","",COUNTIFS(POS_Time,"&gt;="&amp;($C16+CONVERT(Variables!$C$12,"sec","day")),POS_Time,"&lt;="&amp;($D16-CONVERT(Variables!$C$12+1,"sec","day")),POS_Q,"&lt;="&amp;Variables!$C$11))</f>
        <v/>
      </c>
      <c r="U16" s="26" t="str">
        <f>IF($B16="","",IF(1&gt;Variables!$C$11,0,COUNTIFS(POS_Time,"&gt;="&amp;($C16+CONVERT(Variables!$C$12,"sec","day")),POS_Time,"&lt;="&amp;($D16-CONVERT(Variables!$C$12+1,"sec","day")),POS_Q,"=1")))</f>
        <v/>
      </c>
      <c r="V16" s="26" t="str">
        <f>IF($B16="","",IF(2&gt;Variables!$C$11,0,COUNTIFS(POS_Time,"&gt;="&amp;($C16+CONVERT(Variables!$C$12,"sec","day")),POS_Time,"&lt;="&amp;($D16-CONVERT(Variables!$C$12+1,"sec","day")),POS_Q,"=2")))</f>
        <v/>
      </c>
      <c r="W16" s="26" t="str">
        <f>IF($B16="","",IF(3&gt;Variables!$C$11,0,COUNTIFS(POS_Time,"&gt;="&amp;($C16+CONVERT(Variables!$C$12,"sec","day")),POS_Time,"&lt;="&amp;($D16-CONVERT(Variables!$C$12+1,"sec","day")),POS_Q,"=3")))</f>
        <v/>
      </c>
      <c r="X16" s="26" t="str">
        <f>IF($B16="","",IF(4&gt;Variables!$C$11,0,COUNTIFS(POS_Time,"&gt;="&amp;($C16+CONVERT(Variables!$C$12,"sec","day")),POS_Time,"&lt;="&amp;($D16-CONVERT(Variables!$C$12+1,"sec","day")),POS_Q,"=4")))</f>
        <v/>
      </c>
      <c r="Y16" s="26" t="str">
        <f>IF($B16="","",IF(5&gt;Variables!$C$11,0,COUNTIFS(POS_Time,"&gt;="&amp;($C16+CONVERT(Variables!$C$12,"sec","day")),POS_Time,"&lt;="&amp;($D16-CONVERT(Variables!$C$12+1,"sec","day")),POS_Q,"=5")))</f>
        <v/>
      </c>
      <c r="Z16" s="26" t="str">
        <f>IF($B16="","",IF(6&gt;Variables!$C$11,0,COUNTIFS(POS_Time,"&gt;="&amp;($C16+CONVERT(Variables!$C$12,"sec","day")),POS_Time,"&lt;="&amp;($D16-CONVERT(Variables!$C$12+1,"sec","day")),POS_Q,"=6")))</f>
        <v/>
      </c>
    </row>
    <row r="17" spans="1:26" x14ac:dyDescent="0.25">
      <c r="A17" s="2">
        <v>16</v>
      </c>
      <c r="B17" s="27" t="str">
        <f>IF((ROW()-1)&lt;=RoverStations,'Rover CSV Data'!B17,"")</f>
        <v/>
      </c>
      <c r="C17" s="28" t="str">
        <f>IF($B17="","",DATEVALUE(LEFT('Rover CSV Data'!F17,FIND(" ",'Rover CSV Data'!F17)-1))+TIMEVALUE(MID('Rover CSV Data'!F17,LEN('Rover CSV Data'!F17)-FIND(" ",'Rover CSV Data'!F17),(FIND(" UTC",'Rover CSV Data'!F17))-(LEN('Rover CSV Data'!F17)-FIND(" ",'Rover CSV Data'!F17)))))</f>
        <v/>
      </c>
      <c r="D17" s="28" t="str">
        <f>IF($B17="","",DATEVALUE(LEFT('Rover CSV Data'!G17,FIND(" ",'Rover CSV Data'!G17)-1))+TIMEVALUE(MID('Rover CSV Data'!G17,LEN('Rover CSV Data'!G17)-FIND(" ",'Rover CSV Data'!G17),(FIND(" UTC",'Rover CSV Data'!G17))-(LEN('Rover CSV Data'!G17)-FIND(" ",'Rover CSV Data'!G17)))))</f>
        <v/>
      </c>
      <c r="E17" s="29" t="str">
        <f t="shared" si="1"/>
        <v/>
      </c>
      <c r="F17" s="26" t="str">
        <f>IF($B17="","",'Rover CSV Data'!J17)</f>
        <v/>
      </c>
      <c r="G17" s="26" t="str">
        <f>IF($B17="","",AVERAGEIFS(POS_Lat,POS_Time,"&gt;="&amp;($C17+CONVERT(Variables!$C$12,"sec","day")),POS_Time,"&lt;="&amp;($D17-CONVERT(Variables!$C$12+1,"sec","day")),POS_Q,"&lt;="&amp;Variables!$C$11))</f>
        <v/>
      </c>
      <c r="H17" s="26" t="str">
        <f>IF($B17="","",AVERAGEIFS(POS_Long,POS_Time,"&gt;="&amp;($C17+CONVERT(Variables!$C$12,"sec","day")),POS_Time,"&lt;="&amp;($D17-CONVERT(Variables!$C$12+1,"sec","day")),POS_Q,"&lt;="&amp;Variables!$C$11))</f>
        <v/>
      </c>
      <c r="I17" s="30" t="str">
        <f>IF($B17="","",AVERAGEIFS(POS_elev,POS_Time,"&gt;="&amp;($C17+CONVERT(Variables!$C$12,"sec","day")),POS_Time,"&lt;="&amp;($D17-CONVERT(Variables!$C$12+1,"sec","day")),POS_Q,"&lt;="&amp;Variables!$C$11)-S17)</f>
        <v/>
      </c>
      <c r="J17" s="26" t="str">
        <f>IF($B17="","",'Rover CSV Data'!D17)</f>
        <v/>
      </c>
      <c r="K17" s="26" t="str">
        <f>IF($B17="","",'Rover CSV Data'!C17)</f>
        <v/>
      </c>
      <c r="L17" s="26" t="str">
        <f>IF($B17="","",'Rover CSV Data'!E17)</f>
        <v/>
      </c>
      <c r="M17" s="30" t="str">
        <f>IF($B17="","",AVERAGEIFS(sdn,POS_Time,"&gt;="&amp;($C17+CONVERT(Variables!$C$12,"sec","day")),POS_Time,"&lt;="&amp;($D17-CONVERT(Variables!$C$12+1,"sec","day")),POS_Q,"&lt;="&amp;Variables!$C$11))</f>
        <v/>
      </c>
      <c r="N17" s="31" t="str">
        <f>IF($B17="","",AVERAGEIFS(sde,POS_Time,"&gt;="&amp;($C17+CONVERT(Variables!$C$12,"sec","day")),POS_Time,"&lt;="&amp;($D17-CONVERT(Variables!$C$12+1,"sec","day")),POS_Q,"&lt;="&amp;Variables!$C$11))</f>
        <v/>
      </c>
      <c r="O17" s="31" t="str">
        <f>IF($B17="","",AVERAGEIFS(sdu,POS_Time,"&gt;="&amp;($C17+CONVERT(Variables!$C$12,"sec","day")),POS_Time,"&lt;="&amp;($D17-CONVERT(Variables!$C$12+1,"sec","day")),POS_Q,"&lt;="&amp;Variables!$C$11))</f>
        <v/>
      </c>
      <c r="P17" s="32" t="str">
        <f t="array" ref="P17">IF($B17="","",STDEV(IF(POS_Time&gt;=($C17+CONVERT(Variables!$C$12,"sec","day")),IF(POS_Time&lt;=($D17-CONVERT(Variables!$C$12+1,"sec","day")),IF(POS_Q&lt;=Variables!$C$11,POS_Lat)))))</f>
        <v/>
      </c>
      <c r="Q17" s="32" t="str">
        <f t="array" ref="Q17">IF($B17="","",STDEV(IF(POS_Time&gt;=($C17+CONVERT(Variables!$C$12,"sec","day")),IF(POS_Time&lt;=($D17-CONVERT(Variables!$C$12+1,"sec","day")),IF(POS_Q&lt;=Variables!$C$11,POS_Long)))))</f>
        <v/>
      </c>
      <c r="R17" s="32" t="str">
        <f t="array" ref="R17">IF($B17="","",STDEV(IF(POS_Time&gt;=($C17+CONVERT(Variables!$C$12,"sec","day")),IF(POS_Time&lt;=($D17-CONVERT(Variables!$C$12+1,"sec","day")),IF(POS_Q&lt;=Variables!$C$11,POS_elev)))))</f>
        <v/>
      </c>
      <c r="S17" s="30" t="str">
        <f>IF($B17="","",'Rover CSV Data'!K17)</f>
        <v/>
      </c>
      <c r="T17" s="26" t="str">
        <f>IF($B17="","",COUNTIFS(POS_Time,"&gt;="&amp;($C17+CONVERT(Variables!$C$12,"sec","day")),POS_Time,"&lt;="&amp;($D17-CONVERT(Variables!$C$12+1,"sec","day")),POS_Q,"&lt;="&amp;Variables!$C$11))</f>
        <v/>
      </c>
      <c r="U17" s="26" t="str">
        <f>IF($B17="","",IF(1&gt;Variables!$C$11,0,COUNTIFS(POS_Time,"&gt;="&amp;($C17+CONVERT(Variables!$C$12,"sec","day")),POS_Time,"&lt;="&amp;($D17-CONVERT(Variables!$C$12+1,"sec","day")),POS_Q,"=1")))</f>
        <v/>
      </c>
      <c r="V17" s="26" t="str">
        <f>IF($B17="","",IF(2&gt;Variables!$C$11,0,COUNTIFS(POS_Time,"&gt;="&amp;($C17+CONVERT(Variables!$C$12,"sec","day")),POS_Time,"&lt;="&amp;($D17-CONVERT(Variables!$C$12+1,"sec","day")),POS_Q,"=2")))</f>
        <v/>
      </c>
      <c r="W17" s="26" t="str">
        <f>IF($B17="","",IF(3&gt;Variables!$C$11,0,COUNTIFS(POS_Time,"&gt;="&amp;($C17+CONVERT(Variables!$C$12,"sec","day")),POS_Time,"&lt;="&amp;($D17-CONVERT(Variables!$C$12+1,"sec","day")),POS_Q,"=3")))</f>
        <v/>
      </c>
      <c r="X17" s="26" t="str">
        <f>IF($B17="","",IF(4&gt;Variables!$C$11,0,COUNTIFS(POS_Time,"&gt;="&amp;($C17+CONVERT(Variables!$C$12,"sec","day")),POS_Time,"&lt;="&amp;($D17-CONVERT(Variables!$C$12+1,"sec","day")),POS_Q,"=4")))</f>
        <v/>
      </c>
      <c r="Y17" s="26" t="str">
        <f>IF($B17="","",IF(5&gt;Variables!$C$11,0,COUNTIFS(POS_Time,"&gt;="&amp;($C17+CONVERT(Variables!$C$12,"sec","day")),POS_Time,"&lt;="&amp;($D17-CONVERT(Variables!$C$12+1,"sec","day")),POS_Q,"=5")))</f>
        <v/>
      </c>
      <c r="Z17" s="26" t="str">
        <f>IF($B17="","",IF(6&gt;Variables!$C$11,0,COUNTIFS(POS_Time,"&gt;="&amp;($C17+CONVERT(Variables!$C$12,"sec","day")),POS_Time,"&lt;="&amp;($D17-CONVERT(Variables!$C$12+1,"sec","day")),POS_Q,"=6")))</f>
        <v/>
      </c>
    </row>
    <row r="18" spans="1:26" x14ac:dyDescent="0.25">
      <c r="A18" s="2">
        <v>17</v>
      </c>
      <c r="B18" s="27" t="str">
        <f>IF((ROW()-1)&lt;=RoverStations,'Rover CSV Data'!B18,"")</f>
        <v/>
      </c>
      <c r="C18" s="28" t="str">
        <f>IF($B18="","",DATEVALUE(LEFT('Rover CSV Data'!F18,FIND(" ",'Rover CSV Data'!F18)-1))+TIMEVALUE(MID('Rover CSV Data'!F18,LEN('Rover CSV Data'!F18)-FIND(" ",'Rover CSV Data'!F18),(FIND(" UTC",'Rover CSV Data'!F18))-(LEN('Rover CSV Data'!F18)-FIND(" ",'Rover CSV Data'!F18)))))</f>
        <v/>
      </c>
      <c r="D18" s="28" t="str">
        <f>IF($B18="","",DATEVALUE(LEFT('Rover CSV Data'!G18,FIND(" ",'Rover CSV Data'!G18)-1))+TIMEVALUE(MID('Rover CSV Data'!G18,LEN('Rover CSV Data'!G18)-FIND(" ",'Rover CSV Data'!G18),(FIND(" UTC",'Rover CSV Data'!G18))-(LEN('Rover CSV Data'!G18)-FIND(" ",'Rover CSV Data'!G18)))))</f>
        <v/>
      </c>
      <c r="E18" s="29" t="str">
        <f t="shared" si="1"/>
        <v/>
      </c>
      <c r="F18" s="26" t="str">
        <f>IF($B18="","",'Rover CSV Data'!J18)</f>
        <v/>
      </c>
      <c r="G18" s="26" t="str">
        <f>IF($B18="","",AVERAGEIFS(POS_Lat,POS_Time,"&gt;="&amp;($C18+CONVERT(Variables!$C$12,"sec","day")),POS_Time,"&lt;="&amp;($D18-CONVERT(Variables!$C$12+1,"sec","day")),POS_Q,"&lt;="&amp;Variables!$C$11))</f>
        <v/>
      </c>
      <c r="H18" s="26" t="str">
        <f>IF($B18="","",AVERAGEIFS(POS_Long,POS_Time,"&gt;="&amp;($C18+CONVERT(Variables!$C$12,"sec","day")),POS_Time,"&lt;="&amp;($D18-CONVERT(Variables!$C$12+1,"sec","day")),POS_Q,"&lt;="&amp;Variables!$C$11))</f>
        <v/>
      </c>
      <c r="I18" s="30" t="str">
        <f>IF($B18="","",AVERAGEIFS(POS_elev,POS_Time,"&gt;="&amp;($C18+CONVERT(Variables!$C$12,"sec","day")),POS_Time,"&lt;="&amp;($D18-CONVERT(Variables!$C$12+1,"sec","day")),POS_Q,"&lt;="&amp;Variables!$C$11)-S18)</f>
        <v/>
      </c>
      <c r="J18" s="26" t="str">
        <f>IF($B18="","",'Rover CSV Data'!D18)</f>
        <v/>
      </c>
      <c r="K18" s="26" t="str">
        <f>IF($B18="","",'Rover CSV Data'!C18)</f>
        <v/>
      </c>
      <c r="L18" s="26" t="str">
        <f>IF($B18="","",'Rover CSV Data'!E18)</f>
        <v/>
      </c>
      <c r="M18" s="30" t="str">
        <f>IF($B18="","",AVERAGEIFS(sdn,POS_Time,"&gt;="&amp;($C18+CONVERT(Variables!$C$12,"sec","day")),POS_Time,"&lt;="&amp;($D18-CONVERT(Variables!$C$12+1,"sec","day")),POS_Q,"&lt;="&amp;Variables!$C$11))</f>
        <v/>
      </c>
      <c r="N18" s="31" t="str">
        <f>IF($B18="","",AVERAGEIFS(sde,POS_Time,"&gt;="&amp;($C18+CONVERT(Variables!$C$12,"sec","day")),POS_Time,"&lt;="&amp;($D18-CONVERT(Variables!$C$12+1,"sec","day")),POS_Q,"&lt;="&amp;Variables!$C$11))</f>
        <v/>
      </c>
      <c r="O18" s="31" t="str">
        <f>IF($B18="","",AVERAGEIFS(sdu,POS_Time,"&gt;="&amp;($C18+CONVERT(Variables!$C$12,"sec","day")),POS_Time,"&lt;="&amp;($D18-CONVERT(Variables!$C$12+1,"sec","day")),POS_Q,"&lt;="&amp;Variables!$C$11))</f>
        <v/>
      </c>
      <c r="P18" s="32" t="str">
        <f t="array" ref="P18">IF($B18="","",STDEV(IF(POS_Time&gt;=($C18+CONVERT(Variables!$C$12,"sec","day")),IF(POS_Time&lt;=($D18-CONVERT(Variables!$C$12+1,"sec","day")),IF(POS_Q&lt;=Variables!$C$11,POS_Lat)))))</f>
        <v/>
      </c>
      <c r="Q18" s="32" t="str">
        <f t="array" ref="Q18">IF($B18="","",STDEV(IF(POS_Time&gt;=($C18+CONVERT(Variables!$C$12,"sec","day")),IF(POS_Time&lt;=($D18-CONVERT(Variables!$C$12+1,"sec","day")),IF(POS_Q&lt;=Variables!$C$11,POS_Long)))))</f>
        <v/>
      </c>
      <c r="R18" s="32" t="str">
        <f t="array" ref="R18">IF($B18="","",STDEV(IF(POS_Time&gt;=($C18+CONVERT(Variables!$C$12,"sec","day")),IF(POS_Time&lt;=($D18-CONVERT(Variables!$C$12+1,"sec","day")),IF(POS_Q&lt;=Variables!$C$11,POS_elev)))))</f>
        <v/>
      </c>
      <c r="S18" s="30" t="str">
        <f>IF($B18="","",'Rover CSV Data'!K18)</f>
        <v/>
      </c>
      <c r="T18" s="26" t="str">
        <f>IF($B18="","",COUNTIFS(POS_Time,"&gt;="&amp;($C18+CONVERT(Variables!$C$12,"sec","day")),POS_Time,"&lt;="&amp;($D18-CONVERT(Variables!$C$12+1,"sec","day")),POS_Q,"&lt;="&amp;Variables!$C$11))</f>
        <v/>
      </c>
      <c r="U18" s="26" t="str">
        <f>IF($B18="","",IF(1&gt;Variables!$C$11,0,COUNTIFS(POS_Time,"&gt;="&amp;($C18+CONVERT(Variables!$C$12,"sec","day")),POS_Time,"&lt;="&amp;($D18-CONVERT(Variables!$C$12+1,"sec","day")),POS_Q,"=1")))</f>
        <v/>
      </c>
      <c r="V18" s="26" t="str">
        <f>IF($B18="","",IF(2&gt;Variables!$C$11,0,COUNTIFS(POS_Time,"&gt;="&amp;($C18+CONVERT(Variables!$C$12,"sec","day")),POS_Time,"&lt;="&amp;($D18-CONVERT(Variables!$C$12+1,"sec","day")),POS_Q,"=2")))</f>
        <v/>
      </c>
      <c r="W18" s="26" t="str">
        <f>IF($B18="","",IF(3&gt;Variables!$C$11,0,COUNTIFS(POS_Time,"&gt;="&amp;($C18+CONVERT(Variables!$C$12,"sec","day")),POS_Time,"&lt;="&amp;($D18-CONVERT(Variables!$C$12+1,"sec","day")),POS_Q,"=3")))</f>
        <v/>
      </c>
      <c r="X18" s="26" t="str">
        <f>IF($B18="","",IF(4&gt;Variables!$C$11,0,COUNTIFS(POS_Time,"&gt;="&amp;($C18+CONVERT(Variables!$C$12,"sec","day")),POS_Time,"&lt;="&amp;($D18-CONVERT(Variables!$C$12+1,"sec","day")),POS_Q,"=4")))</f>
        <v/>
      </c>
      <c r="Y18" s="26" t="str">
        <f>IF($B18="","",IF(5&gt;Variables!$C$11,0,COUNTIFS(POS_Time,"&gt;="&amp;($C18+CONVERT(Variables!$C$12,"sec","day")),POS_Time,"&lt;="&amp;($D18-CONVERT(Variables!$C$12+1,"sec","day")),POS_Q,"=5")))</f>
        <v/>
      </c>
      <c r="Z18" s="26" t="str">
        <f>IF($B18="","",IF(6&gt;Variables!$C$11,0,COUNTIFS(POS_Time,"&gt;="&amp;($C18+CONVERT(Variables!$C$12,"sec","day")),POS_Time,"&lt;="&amp;($D18-CONVERT(Variables!$C$12+1,"sec","day")),POS_Q,"=6")))</f>
        <v/>
      </c>
    </row>
    <row r="19" spans="1:26" x14ac:dyDescent="0.25">
      <c r="A19" s="2">
        <v>18</v>
      </c>
      <c r="B19" s="27" t="str">
        <f>IF((ROW()-1)&lt;=RoverStations,'Rover CSV Data'!B19,"")</f>
        <v/>
      </c>
      <c r="C19" s="28" t="str">
        <f>IF($B19="","",DATEVALUE(LEFT('Rover CSV Data'!F19,FIND(" ",'Rover CSV Data'!F19)-1))+TIMEVALUE(MID('Rover CSV Data'!F19,LEN('Rover CSV Data'!F19)-FIND(" ",'Rover CSV Data'!F19),(FIND(" UTC",'Rover CSV Data'!F19))-(LEN('Rover CSV Data'!F19)-FIND(" ",'Rover CSV Data'!F19)))))</f>
        <v/>
      </c>
      <c r="D19" s="28" t="str">
        <f>IF($B19="","",DATEVALUE(LEFT('Rover CSV Data'!G19,FIND(" ",'Rover CSV Data'!G19)-1))+TIMEVALUE(MID('Rover CSV Data'!G19,LEN('Rover CSV Data'!G19)-FIND(" ",'Rover CSV Data'!G19),(FIND(" UTC",'Rover CSV Data'!G19))-(LEN('Rover CSV Data'!G19)-FIND(" ",'Rover CSV Data'!G19)))))</f>
        <v/>
      </c>
      <c r="E19" s="29" t="str">
        <f t="shared" si="1"/>
        <v/>
      </c>
      <c r="F19" s="26" t="str">
        <f>IF($B19="","",'Rover CSV Data'!J19)</f>
        <v/>
      </c>
      <c r="G19" s="26" t="str">
        <f>IF($B19="","",AVERAGEIFS(POS_Lat,POS_Time,"&gt;="&amp;($C19+CONVERT(Variables!$C$12,"sec","day")),POS_Time,"&lt;="&amp;($D19-CONVERT(Variables!$C$12+1,"sec","day")),POS_Q,"&lt;="&amp;Variables!$C$11))</f>
        <v/>
      </c>
      <c r="H19" s="26" t="str">
        <f>IF($B19="","",AVERAGEIFS(POS_Long,POS_Time,"&gt;="&amp;($C19+CONVERT(Variables!$C$12,"sec","day")),POS_Time,"&lt;="&amp;($D19-CONVERT(Variables!$C$12+1,"sec","day")),POS_Q,"&lt;="&amp;Variables!$C$11))</f>
        <v/>
      </c>
      <c r="I19" s="30" t="str">
        <f>IF($B19="","",AVERAGEIFS(POS_elev,POS_Time,"&gt;="&amp;($C19+CONVERT(Variables!$C$12,"sec","day")),POS_Time,"&lt;="&amp;($D19-CONVERT(Variables!$C$12+1,"sec","day")),POS_Q,"&lt;="&amp;Variables!$C$11)-S19)</f>
        <v/>
      </c>
      <c r="J19" s="26" t="str">
        <f>IF($B19="","",'Rover CSV Data'!D19)</f>
        <v/>
      </c>
      <c r="K19" s="26" t="str">
        <f>IF($B19="","",'Rover CSV Data'!C19)</f>
        <v/>
      </c>
      <c r="L19" s="26" t="str">
        <f>IF($B19="","",'Rover CSV Data'!E19)</f>
        <v/>
      </c>
      <c r="M19" s="30" t="str">
        <f>IF($B19="","",AVERAGEIFS(sdn,POS_Time,"&gt;="&amp;($C19+CONVERT(Variables!$C$12,"sec","day")),POS_Time,"&lt;="&amp;($D19-CONVERT(Variables!$C$12+1,"sec","day")),POS_Q,"&lt;="&amp;Variables!$C$11))</f>
        <v/>
      </c>
      <c r="N19" s="31" t="str">
        <f>IF($B19="","",AVERAGEIFS(sde,POS_Time,"&gt;="&amp;($C19+CONVERT(Variables!$C$12,"sec","day")),POS_Time,"&lt;="&amp;($D19-CONVERT(Variables!$C$12+1,"sec","day")),POS_Q,"&lt;="&amp;Variables!$C$11))</f>
        <v/>
      </c>
      <c r="O19" s="31" t="str">
        <f>IF($B19="","",AVERAGEIFS(sdu,POS_Time,"&gt;="&amp;($C19+CONVERT(Variables!$C$12,"sec","day")),POS_Time,"&lt;="&amp;($D19-CONVERT(Variables!$C$12+1,"sec","day")),POS_Q,"&lt;="&amp;Variables!$C$11))</f>
        <v/>
      </c>
      <c r="P19" s="32" t="str">
        <f t="array" ref="P19">IF($B19="","",STDEV(IF(POS_Time&gt;=($C19+CONVERT(Variables!$C$12,"sec","day")),IF(POS_Time&lt;=($D19-CONVERT(Variables!$C$12+1,"sec","day")),IF(POS_Q&lt;=Variables!$C$11,POS_Lat)))))</f>
        <v/>
      </c>
      <c r="Q19" s="32" t="str">
        <f t="array" ref="Q19">IF($B19="","",STDEV(IF(POS_Time&gt;=($C19+CONVERT(Variables!$C$12,"sec","day")),IF(POS_Time&lt;=($D19-CONVERT(Variables!$C$12+1,"sec","day")),IF(POS_Q&lt;=Variables!$C$11,POS_Long)))))</f>
        <v/>
      </c>
      <c r="R19" s="32" t="str">
        <f t="array" ref="R19">IF($B19="","",STDEV(IF(POS_Time&gt;=($C19+CONVERT(Variables!$C$12,"sec","day")),IF(POS_Time&lt;=($D19-CONVERT(Variables!$C$12+1,"sec","day")),IF(POS_Q&lt;=Variables!$C$11,POS_elev)))))</f>
        <v/>
      </c>
      <c r="S19" s="30" t="str">
        <f>IF($B19="","",'Rover CSV Data'!K19)</f>
        <v/>
      </c>
      <c r="T19" s="26" t="str">
        <f>IF($B19="","",COUNTIFS(POS_Time,"&gt;="&amp;($C19+CONVERT(Variables!$C$12,"sec","day")),POS_Time,"&lt;="&amp;($D19-CONVERT(Variables!$C$12+1,"sec","day")),POS_Q,"&lt;="&amp;Variables!$C$11))</f>
        <v/>
      </c>
      <c r="U19" s="26" t="str">
        <f>IF($B19="","",IF(1&gt;Variables!$C$11,0,COUNTIFS(POS_Time,"&gt;="&amp;($C19+CONVERT(Variables!$C$12,"sec","day")),POS_Time,"&lt;="&amp;($D19-CONVERT(Variables!$C$12+1,"sec","day")),POS_Q,"=1")))</f>
        <v/>
      </c>
      <c r="V19" s="26" t="str">
        <f>IF($B19="","",IF(2&gt;Variables!$C$11,0,COUNTIFS(POS_Time,"&gt;="&amp;($C19+CONVERT(Variables!$C$12,"sec","day")),POS_Time,"&lt;="&amp;($D19-CONVERT(Variables!$C$12+1,"sec","day")),POS_Q,"=2")))</f>
        <v/>
      </c>
      <c r="W19" s="26" t="str">
        <f>IF($B19="","",IF(3&gt;Variables!$C$11,0,COUNTIFS(POS_Time,"&gt;="&amp;($C19+CONVERT(Variables!$C$12,"sec","day")),POS_Time,"&lt;="&amp;($D19-CONVERT(Variables!$C$12+1,"sec","day")),POS_Q,"=3")))</f>
        <v/>
      </c>
      <c r="X19" s="26" t="str">
        <f>IF($B19="","",IF(4&gt;Variables!$C$11,0,COUNTIFS(POS_Time,"&gt;="&amp;($C19+CONVERT(Variables!$C$12,"sec","day")),POS_Time,"&lt;="&amp;($D19-CONVERT(Variables!$C$12+1,"sec","day")),POS_Q,"=4")))</f>
        <v/>
      </c>
      <c r="Y19" s="26" t="str">
        <f>IF($B19="","",IF(5&gt;Variables!$C$11,0,COUNTIFS(POS_Time,"&gt;="&amp;($C19+CONVERT(Variables!$C$12,"sec","day")),POS_Time,"&lt;="&amp;($D19-CONVERT(Variables!$C$12+1,"sec","day")),POS_Q,"=5")))</f>
        <v/>
      </c>
      <c r="Z19" s="26" t="str">
        <f>IF($B19="","",IF(6&gt;Variables!$C$11,0,COUNTIFS(POS_Time,"&gt;="&amp;($C19+CONVERT(Variables!$C$12,"sec","day")),POS_Time,"&lt;="&amp;($D19-CONVERT(Variables!$C$12+1,"sec","day")),POS_Q,"=6")))</f>
        <v/>
      </c>
    </row>
    <row r="20" spans="1:26" x14ac:dyDescent="0.25">
      <c r="A20" s="2">
        <v>19</v>
      </c>
      <c r="B20" s="27" t="str">
        <f>IF((ROW()-1)&lt;=RoverStations,'Rover CSV Data'!B20,"")</f>
        <v/>
      </c>
      <c r="C20" s="28" t="str">
        <f>IF($B20="","",DATEVALUE(LEFT('Rover CSV Data'!F20,FIND(" ",'Rover CSV Data'!F20)-1))+TIMEVALUE(MID('Rover CSV Data'!F20,LEN('Rover CSV Data'!F20)-FIND(" ",'Rover CSV Data'!F20),(FIND(" UTC",'Rover CSV Data'!F20))-(LEN('Rover CSV Data'!F20)-FIND(" ",'Rover CSV Data'!F20)))))</f>
        <v/>
      </c>
      <c r="D20" s="28" t="str">
        <f>IF($B20="","",DATEVALUE(LEFT('Rover CSV Data'!G20,FIND(" ",'Rover CSV Data'!G20)-1))+TIMEVALUE(MID('Rover CSV Data'!G20,LEN('Rover CSV Data'!G20)-FIND(" ",'Rover CSV Data'!G20),(FIND(" UTC",'Rover CSV Data'!G20))-(LEN('Rover CSV Data'!G20)-FIND(" ",'Rover CSV Data'!G20)))))</f>
        <v/>
      </c>
      <c r="E20" s="29" t="str">
        <f t="shared" si="1"/>
        <v/>
      </c>
      <c r="F20" s="26" t="str">
        <f>IF($B20="","",'Rover CSV Data'!J20)</f>
        <v/>
      </c>
      <c r="G20" s="26" t="str">
        <f>IF($B20="","",AVERAGEIFS(POS_Lat,POS_Time,"&gt;="&amp;($C20+CONVERT(Variables!$C$12,"sec","day")),POS_Time,"&lt;="&amp;($D20-CONVERT(Variables!$C$12+1,"sec","day")),POS_Q,"&lt;="&amp;Variables!$C$11))</f>
        <v/>
      </c>
      <c r="H20" s="26" t="str">
        <f>IF($B20="","",AVERAGEIFS(POS_Long,POS_Time,"&gt;="&amp;($C20+CONVERT(Variables!$C$12,"sec","day")),POS_Time,"&lt;="&amp;($D20-CONVERT(Variables!$C$12+1,"sec","day")),POS_Q,"&lt;="&amp;Variables!$C$11))</f>
        <v/>
      </c>
      <c r="I20" s="30" t="str">
        <f>IF($B20="","",AVERAGEIFS(POS_elev,POS_Time,"&gt;="&amp;($C20+CONVERT(Variables!$C$12,"sec","day")),POS_Time,"&lt;="&amp;($D20-CONVERT(Variables!$C$12+1,"sec","day")),POS_Q,"&lt;="&amp;Variables!$C$11)-S20)</f>
        <v/>
      </c>
      <c r="J20" s="26" t="str">
        <f>IF($B20="","",'Rover CSV Data'!D20)</f>
        <v/>
      </c>
      <c r="K20" s="26" t="str">
        <f>IF($B20="","",'Rover CSV Data'!C20)</f>
        <v/>
      </c>
      <c r="L20" s="26" t="str">
        <f>IF($B20="","",'Rover CSV Data'!E20)</f>
        <v/>
      </c>
      <c r="M20" s="30" t="str">
        <f>IF($B20="","",AVERAGEIFS(sdn,POS_Time,"&gt;="&amp;($C20+CONVERT(Variables!$C$12,"sec","day")),POS_Time,"&lt;="&amp;($D20-CONVERT(Variables!$C$12+1,"sec","day")),POS_Q,"&lt;="&amp;Variables!$C$11))</f>
        <v/>
      </c>
      <c r="N20" s="31" t="str">
        <f>IF($B20="","",AVERAGEIFS(sde,POS_Time,"&gt;="&amp;($C20+CONVERT(Variables!$C$12,"sec","day")),POS_Time,"&lt;="&amp;($D20-CONVERT(Variables!$C$12+1,"sec","day")),POS_Q,"&lt;="&amp;Variables!$C$11))</f>
        <v/>
      </c>
      <c r="O20" s="31" t="str">
        <f>IF($B20="","",AVERAGEIFS(sdu,POS_Time,"&gt;="&amp;($C20+CONVERT(Variables!$C$12,"sec","day")),POS_Time,"&lt;="&amp;($D20-CONVERT(Variables!$C$12+1,"sec","day")),POS_Q,"&lt;="&amp;Variables!$C$11))</f>
        <v/>
      </c>
      <c r="P20" s="32" t="str">
        <f t="array" ref="P20">IF($B20="","",STDEV(IF(POS_Time&gt;=($C20+CONVERT(Variables!$C$12,"sec","day")),IF(POS_Time&lt;=($D20-CONVERT(Variables!$C$12+1,"sec","day")),IF(POS_Q&lt;=Variables!$C$11,POS_Lat)))))</f>
        <v/>
      </c>
      <c r="Q20" s="32" t="str">
        <f t="array" ref="Q20">IF($B20="","",STDEV(IF(POS_Time&gt;=($C20+CONVERT(Variables!$C$12,"sec","day")),IF(POS_Time&lt;=($D20-CONVERT(Variables!$C$12+1,"sec","day")),IF(POS_Q&lt;=Variables!$C$11,POS_Long)))))</f>
        <v/>
      </c>
      <c r="R20" s="32" t="str">
        <f t="array" ref="R20">IF($B20="","",STDEV(IF(POS_Time&gt;=($C20+CONVERT(Variables!$C$12,"sec","day")),IF(POS_Time&lt;=($D20-CONVERT(Variables!$C$12+1,"sec","day")),IF(POS_Q&lt;=Variables!$C$11,POS_elev)))))</f>
        <v/>
      </c>
      <c r="S20" s="30" t="str">
        <f>IF($B20="","",'Rover CSV Data'!K20)</f>
        <v/>
      </c>
      <c r="T20" s="26" t="str">
        <f>IF($B20="","",COUNTIFS(POS_Time,"&gt;="&amp;($C20+CONVERT(Variables!$C$12,"sec","day")),POS_Time,"&lt;="&amp;($D20-CONVERT(Variables!$C$12+1,"sec","day")),POS_Q,"&lt;="&amp;Variables!$C$11))</f>
        <v/>
      </c>
      <c r="U20" s="26" t="str">
        <f>IF($B20="","",IF(1&gt;Variables!$C$11,0,COUNTIFS(POS_Time,"&gt;="&amp;($C20+CONVERT(Variables!$C$12,"sec","day")),POS_Time,"&lt;="&amp;($D20-CONVERT(Variables!$C$12+1,"sec","day")),POS_Q,"=1")))</f>
        <v/>
      </c>
      <c r="V20" s="26" t="str">
        <f>IF($B20="","",IF(2&gt;Variables!$C$11,0,COUNTIFS(POS_Time,"&gt;="&amp;($C20+CONVERT(Variables!$C$12,"sec","day")),POS_Time,"&lt;="&amp;($D20-CONVERT(Variables!$C$12+1,"sec","day")),POS_Q,"=2")))</f>
        <v/>
      </c>
      <c r="W20" s="26" t="str">
        <f>IF($B20="","",IF(3&gt;Variables!$C$11,0,COUNTIFS(POS_Time,"&gt;="&amp;($C20+CONVERT(Variables!$C$12,"sec","day")),POS_Time,"&lt;="&amp;($D20-CONVERT(Variables!$C$12+1,"sec","day")),POS_Q,"=3")))</f>
        <v/>
      </c>
      <c r="X20" s="26" t="str">
        <f>IF($B20="","",IF(4&gt;Variables!$C$11,0,COUNTIFS(POS_Time,"&gt;="&amp;($C20+CONVERT(Variables!$C$12,"sec","day")),POS_Time,"&lt;="&amp;($D20-CONVERT(Variables!$C$12+1,"sec","day")),POS_Q,"=4")))</f>
        <v/>
      </c>
      <c r="Y20" s="26" t="str">
        <f>IF($B20="","",IF(5&gt;Variables!$C$11,0,COUNTIFS(POS_Time,"&gt;="&amp;($C20+CONVERT(Variables!$C$12,"sec","day")),POS_Time,"&lt;="&amp;($D20-CONVERT(Variables!$C$12+1,"sec","day")),POS_Q,"=5")))</f>
        <v/>
      </c>
      <c r="Z20" s="26" t="str">
        <f>IF($B20="","",IF(6&gt;Variables!$C$11,0,COUNTIFS(POS_Time,"&gt;="&amp;($C20+CONVERT(Variables!$C$12,"sec","day")),POS_Time,"&lt;="&amp;($D20-CONVERT(Variables!$C$12+1,"sec","day")),POS_Q,"=6")))</f>
        <v/>
      </c>
    </row>
    <row r="21" spans="1:26" x14ac:dyDescent="0.25">
      <c r="A21" s="2">
        <v>20</v>
      </c>
      <c r="B21" s="27" t="str">
        <f>IF((ROW()-1)&lt;=RoverStations,'Rover CSV Data'!B21,"")</f>
        <v/>
      </c>
      <c r="C21" s="28" t="str">
        <f>IF($B21="","",DATEVALUE(LEFT('Rover CSV Data'!F21,FIND(" ",'Rover CSV Data'!F21)-1))+TIMEVALUE(MID('Rover CSV Data'!F21,LEN('Rover CSV Data'!F21)-FIND(" ",'Rover CSV Data'!F21),(FIND(" UTC",'Rover CSV Data'!F21))-(LEN('Rover CSV Data'!F21)-FIND(" ",'Rover CSV Data'!F21)))))</f>
        <v/>
      </c>
      <c r="D21" s="28" t="str">
        <f>IF($B21="","",DATEVALUE(LEFT('Rover CSV Data'!G21,FIND(" ",'Rover CSV Data'!G21)-1))+TIMEVALUE(MID('Rover CSV Data'!G21,LEN('Rover CSV Data'!G21)-FIND(" ",'Rover CSV Data'!G21),(FIND(" UTC",'Rover CSV Data'!G21))-(LEN('Rover CSV Data'!G21)-FIND(" ",'Rover CSV Data'!G21)))))</f>
        <v/>
      </c>
      <c r="E21" s="29" t="str">
        <f t="shared" si="1"/>
        <v/>
      </c>
      <c r="F21" s="26" t="str">
        <f>IF($B21="","",'Rover CSV Data'!J21)</f>
        <v/>
      </c>
      <c r="G21" s="26" t="str">
        <f>IF($B21="","",AVERAGEIFS(POS_Lat,POS_Time,"&gt;="&amp;($C21+CONVERT(Variables!$C$12,"sec","day")),POS_Time,"&lt;="&amp;($D21-CONVERT(Variables!$C$12+1,"sec","day")),POS_Q,"&lt;="&amp;Variables!$C$11))</f>
        <v/>
      </c>
      <c r="H21" s="26" t="str">
        <f>IF($B21="","",AVERAGEIFS(POS_Long,POS_Time,"&gt;="&amp;($C21+CONVERT(Variables!$C$12,"sec","day")),POS_Time,"&lt;="&amp;($D21-CONVERT(Variables!$C$12+1,"sec","day")),POS_Q,"&lt;="&amp;Variables!$C$11))</f>
        <v/>
      </c>
      <c r="I21" s="30" t="str">
        <f>IF($B21="","",AVERAGEIFS(POS_elev,POS_Time,"&gt;="&amp;($C21+CONVERT(Variables!$C$12,"sec","day")),POS_Time,"&lt;="&amp;($D21-CONVERT(Variables!$C$12+1,"sec","day")),POS_Q,"&lt;="&amp;Variables!$C$11)-S21)</f>
        <v/>
      </c>
      <c r="J21" s="26" t="str">
        <f>IF($B21="","",'Rover CSV Data'!D21)</f>
        <v/>
      </c>
      <c r="K21" s="26" t="str">
        <f>IF($B21="","",'Rover CSV Data'!C21)</f>
        <v/>
      </c>
      <c r="L21" s="26" t="str">
        <f>IF($B21="","",'Rover CSV Data'!E21)</f>
        <v/>
      </c>
      <c r="M21" s="30" t="str">
        <f>IF($B21="","",AVERAGEIFS(sdn,POS_Time,"&gt;="&amp;($C21+CONVERT(Variables!$C$12,"sec","day")),POS_Time,"&lt;="&amp;($D21-CONVERT(Variables!$C$12+1,"sec","day")),POS_Q,"&lt;="&amp;Variables!$C$11))</f>
        <v/>
      </c>
      <c r="N21" s="31" t="str">
        <f>IF($B21="","",AVERAGEIFS(sde,POS_Time,"&gt;="&amp;($C21+CONVERT(Variables!$C$12,"sec","day")),POS_Time,"&lt;="&amp;($D21-CONVERT(Variables!$C$12+1,"sec","day")),POS_Q,"&lt;="&amp;Variables!$C$11))</f>
        <v/>
      </c>
      <c r="O21" s="31" t="str">
        <f>IF($B21="","",AVERAGEIFS(sdu,POS_Time,"&gt;="&amp;($C21+CONVERT(Variables!$C$12,"sec","day")),POS_Time,"&lt;="&amp;($D21-CONVERT(Variables!$C$12+1,"sec","day")),POS_Q,"&lt;="&amp;Variables!$C$11))</f>
        <v/>
      </c>
      <c r="P21" s="32" t="str">
        <f t="array" ref="P21">IF($B21="","",STDEV(IF(POS_Time&gt;=($C21+CONVERT(Variables!$C$12,"sec","day")),IF(POS_Time&lt;=($D21-CONVERT(Variables!$C$12+1,"sec","day")),IF(POS_Q&lt;=Variables!$C$11,POS_Lat)))))</f>
        <v/>
      </c>
      <c r="Q21" s="32" t="str">
        <f t="array" ref="Q21">IF($B21="","",STDEV(IF(POS_Time&gt;=($C21+CONVERT(Variables!$C$12,"sec","day")),IF(POS_Time&lt;=($D21-CONVERT(Variables!$C$12+1,"sec","day")),IF(POS_Q&lt;=Variables!$C$11,POS_Long)))))</f>
        <v/>
      </c>
      <c r="R21" s="32" t="str">
        <f t="array" ref="R21">IF($B21="","",STDEV(IF(POS_Time&gt;=($C21+CONVERT(Variables!$C$12,"sec","day")),IF(POS_Time&lt;=($D21-CONVERT(Variables!$C$12+1,"sec","day")),IF(POS_Q&lt;=Variables!$C$11,POS_elev)))))</f>
        <v/>
      </c>
      <c r="S21" s="30" t="str">
        <f>IF($B21="","",'Rover CSV Data'!K21)</f>
        <v/>
      </c>
      <c r="T21" s="26" t="str">
        <f>IF($B21="","",COUNTIFS(POS_Time,"&gt;="&amp;($C21+CONVERT(Variables!$C$12,"sec","day")),POS_Time,"&lt;="&amp;($D21-CONVERT(Variables!$C$12+1,"sec","day")),POS_Q,"&lt;="&amp;Variables!$C$11))</f>
        <v/>
      </c>
      <c r="U21" s="26" t="str">
        <f>IF($B21="","",IF(1&gt;Variables!$C$11,0,COUNTIFS(POS_Time,"&gt;="&amp;($C21+CONVERT(Variables!$C$12,"sec","day")),POS_Time,"&lt;="&amp;($D21-CONVERT(Variables!$C$12+1,"sec","day")),POS_Q,"=1")))</f>
        <v/>
      </c>
      <c r="V21" s="26" t="str">
        <f>IF($B21="","",IF(2&gt;Variables!$C$11,0,COUNTIFS(POS_Time,"&gt;="&amp;($C21+CONVERT(Variables!$C$12,"sec","day")),POS_Time,"&lt;="&amp;($D21-CONVERT(Variables!$C$12+1,"sec","day")),POS_Q,"=2")))</f>
        <v/>
      </c>
      <c r="W21" s="26" t="str">
        <f>IF($B21="","",IF(3&gt;Variables!$C$11,0,COUNTIFS(POS_Time,"&gt;="&amp;($C21+CONVERT(Variables!$C$12,"sec","day")),POS_Time,"&lt;="&amp;($D21-CONVERT(Variables!$C$12+1,"sec","day")),POS_Q,"=3")))</f>
        <v/>
      </c>
      <c r="X21" s="26" t="str">
        <f>IF($B21="","",IF(4&gt;Variables!$C$11,0,COUNTIFS(POS_Time,"&gt;="&amp;($C21+CONVERT(Variables!$C$12,"sec","day")),POS_Time,"&lt;="&amp;($D21-CONVERT(Variables!$C$12+1,"sec","day")),POS_Q,"=4")))</f>
        <v/>
      </c>
      <c r="Y21" s="26" t="str">
        <f>IF($B21="","",IF(5&gt;Variables!$C$11,0,COUNTIFS(POS_Time,"&gt;="&amp;($C21+CONVERT(Variables!$C$12,"sec","day")),POS_Time,"&lt;="&amp;($D21-CONVERT(Variables!$C$12+1,"sec","day")),POS_Q,"=5")))</f>
        <v/>
      </c>
      <c r="Z21" s="26" t="str">
        <f>IF($B21="","",IF(6&gt;Variables!$C$11,0,COUNTIFS(POS_Time,"&gt;="&amp;($C21+CONVERT(Variables!$C$12,"sec","day")),POS_Time,"&lt;="&amp;($D21-CONVERT(Variables!$C$12+1,"sec","day")),POS_Q,"=6")))</f>
        <v/>
      </c>
    </row>
    <row r="22" spans="1:26" x14ac:dyDescent="0.25">
      <c r="A22" s="2">
        <v>21</v>
      </c>
      <c r="B22" s="27" t="str">
        <f>IF((ROW()-1)&lt;=RoverStations,'Rover CSV Data'!B22,"")</f>
        <v/>
      </c>
      <c r="C22" s="28" t="str">
        <f>IF($B22="","",DATEVALUE(LEFT('Rover CSV Data'!F22,FIND(" ",'Rover CSV Data'!F22)-1))+TIMEVALUE(MID('Rover CSV Data'!F22,LEN('Rover CSV Data'!F22)-FIND(" ",'Rover CSV Data'!F22),(FIND(" UTC",'Rover CSV Data'!F22))-(LEN('Rover CSV Data'!F22)-FIND(" ",'Rover CSV Data'!F22)))))</f>
        <v/>
      </c>
      <c r="D22" s="28" t="str">
        <f>IF($B22="","",DATEVALUE(LEFT('Rover CSV Data'!G22,FIND(" ",'Rover CSV Data'!G22)-1))+TIMEVALUE(MID('Rover CSV Data'!G22,LEN('Rover CSV Data'!G22)-FIND(" ",'Rover CSV Data'!G22),(FIND(" UTC",'Rover CSV Data'!G22))-(LEN('Rover CSV Data'!G22)-FIND(" ",'Rover CSV Data'!G22)))))</f>
        <v/>
      </c>
      <c r="E22" s="29" t="str">
        <f t="shared" si="1"/>
        <v/>
      </c>
      <c r="F22" s="26" t="str">
        <f>IF($B22="","",'Rover CSV Data'!J22)</f>
        <v/>
      </c>
      <c r="G22" s="26" t="str">
        <f>IF($B22="","",AVERAGEIFS(POS_Lat,POS_Time,"&gt;="&amp;($C22+CONVERT(Variables!$C$12,"sec","day")),POS_Time,"&lt;="&amp;($D22-CONVERT(Variables!$C$12+1,"sec","day")),POS_Q,"&lt;="&amp;Variables!$C$11))</f>
        <v/>
      </c>
      <c r="H22" s="26" t="str">
        <f>IF($B22="","",AVERAGEIFS(POS_Long,POS_Time,"&gt;="&amp;($C22+CONVERT(Variables!$C$12,"sec","day")),POS_Time,"&lt;="&amp;($D22-CONVERT(Variables!$C$12+1,"sec","day")),POS_Q,"&lt;="&amp;Variables!$C$11))</f>
        <v/>
      </c>
      <c r="I22" s="30" t="str">
        <f>IF($B22="","",AVERAGEIFS(POS_elev,POS_Time,"&gt;="&amp;($C22+CONVERT(Variables!$C$12,"sec","day")),POS_Time,"&lt;="&amp;($D22-CONVERT(Variables!$C$12+1,"sec","day")),POS_Q,"&lt;="&amp;Variables!$C$11)-S22)</f>
        <v/>
      </c>
      <c r="J22" s="26" t="str">
        <f>IF($B22="","",'Rover CSV Data'!D22)</f>
        <v/>
      </c>
      <c r="K22" s="26" t="str">
        <f>IF($B22="","",'Rover CSV Data'!C22)</f>
        <v/>
      </c>
      <c r="L22" s="26" t="str">
        <f>IF($B22="","",'Rover CSV Data'!E22)</f>
        <v/>
      </c>
      <c r="M22" s="30" t="str">
        <f>IF($B22="","",AVERAGEIFS(sdn,POS_Time,"&gt;="&amp;($C22+CONVERT(Variables!$C$12,"sec","day")),POS_Time,"&lt;="&amp;($D22-CONVERT(Variables!$C$12+1,"sec","day")),POS_Q,"&lt;="&amp;Variables!$C$11))</f>
        <v/>
      </c>
      <c r="N22" s="31" t="str">
        <f>IF($B22="","",AVERAGEIFS(sde,POS_Time,"&gt;="&amp;($C22+CONVERT(Variables!$C$12,"sec","day")),POS_Time,"&lt;="&amp;($D22-CONVERT(Variables!$C$12+1,"sec","day")),POS_Q,"&lt;="&amp;Variables!$C$11))</f>
        <v/>
      </c>
      <c r="O22" s="31" t="str">
        <f>IF($B22="","",AVERAGEIFS(sdu,POS_Time,"&gt;="&amp;($C22+CONVERT(Variables!$C$12,"sec","day")),POS_Time,"&lt;="&amp;($D22-CONVERT(Variables!$C$12+1,"sec","day")),POS_Q,"&lt;="&amp;Variables!$C$11))</f>
        <v/>
      </c>
      <c r="P22" s="32" t="str">
        <f t="array" ref="P22">IF($B22="","",STDEV(IF(POS_Time&gt;=($C22+CONVERT(Variables!$C$12,"sec","day")),IF(POS_Time&lt;=($D22-CONVERT(Variables!$C$12+1,"sec","day")),IF(POS_Q&lt;=Variables!$C$11,POS_Lat)))))</f>
        <v/>
      </c>
      <c r="Q22" s="32" t="str">
        <f t="array" ref="Q22">IF($B22="","",STDEV(IF(POS_Time&gt;=($C22+CONVERT(Variables!$C$12,"sec","day")),IF(POS_Time&lt;=($D22-CONVERT(Variables!$C$12+1,"sec","day")),IF(POS_Q&lt;=Variables!$C$11,POS_Long)))))</f>
        <v/>
      </c>
      <c r="R22" s="32" t="str">
        <f t="array" ref="R22">IF($B22="","",STDEV(IF(POS_Time&gt;=($C22+CONVERT(Variables!$C$12,"sec","day")),IF(POS_Time&lt;=($D22-CONVERT(Variables!$C$12+1,"sec","day")),IF(POS_Q&lt;=Variables!$C$11,POS_elev)))))</f>
        <v/>
      </c>
      <c r="S22" s="30" t="str">
        <f>IF($B22="","",'Rover CSV Data'!K22)</f>
        <v/>
      </c>
      <c r="T22" s="26" t="str">
        <f>IF($B22="","",COUNTIFS(POS_Time,"&gt;="&amp;($C22+CONVERT(Variables!$C$12,"sec","day")),POS_Time,"&lt;="&amp;($D22-CONVERT(Variables!$C$12+1,"sec","day")),POS_Q,"&lt;="&amp;Variables!$C$11))</f>
        <v/>
      </c>
      <c r="U22" s="26" t="str">
        <f>IF($B22="","",IF(1&gt;Variables!$C$11,0,COUNTIFS(POS_Time,"&gt;="&amp;($C22+CONVERT(Variables!$C$12,"sec","day")),POS_Time,"&lt;="&amp;($D22-CONVERT(Variables!$C$12+1,"sec","day")),POS_Q,"=1")))</f>
        <v/>
      </c>
      <c r="V22" s="26" t="str">
        <f>IF($B22="","",IF(2&gt;Variables!$C$11,0,COUNTIFS(POS_Time,"&gt;="&amp;($C22+CONVERT(Variables!$C$12,"sec","day")),POS_Time,"&lt;="&amp;($D22-CONVERT(Variables!$C$12+1,"sec","day")),POS_Q,"=2")))</f>
        <v/>
      </c>
      <c r="W22" s="26" t="str">
        <f>IF($B22="","",IF(3&gt;Variables!$C$11,0,COUNTIFS(POS_Time,"&gt;="&amp;($C22+CONVERT(Variables!$C$12,"sec","day")),POS_Time,"&lt;="&amp;($D22-CONVERT(Variables!$C$12+1,"sec","day")),POS_Q,"=3")))</f>
        <v/>
      </c>
      <c r="X22" s="26" t="str">
        <f>IF($B22="","",IF(4&gt;Variables!$C$11,0,COUNTIFS(POS_Time,"&gt;="&amp;($C22+CONVERT(Variables!$C$12,"sec","day")),POS_Time,"&lt;="&amp;($D22-CONVERT(Variables!$C$12+1,"sec","day")),POS_Q,"=4")))</f>
        <v/>
      </c>
      <c r="Y22" s="26" t="str">
        <f>IF($B22="","",IF(5&gt;Variables!$C$11,0,COUNTIFS(POS_Time,"&gt;="&amp;($C22+CONVERT(Variables!$C$12,"sec","day")),POS_Time,"&lt;="&amp;($D22-CONVERT(Variables!$C$12+1,"sec","day")),POS_Q,"=5")))</f>
        <v/>
      </c>
      <c r="Z22" s="26" t="str">
        <f>IF($B22="","",IF(6&gt;Variables!$C$11,0,COUNTIFS(POS_Time,"&gt;="&amp;($C22+CONVERT(Variables!$C$12,"sec","day")),POS_Time,"&lt;="&amp;($D22-CONVERT(Variables!$C$12+1,"sec","day")),POS_Q,"=6")))</f>
        <v/>
      </c>
    </row>
    <row r="23" spans="1:26" x14ac:dyDescent="0.25">
      <c r="A23" s="2">
        <v>22</v>
      </c>
      <c r="B23" s="27" t="str">
        <f>IF((ROW()-1)&lt;=RoverStations,'Rover CSV Data'!B23,"")</f>
        <v/>
      </c>
      <c r="C23" s="28" t="str">
        <f>IF($B23="","",DATEVALUE(LEFT('Rover CSV Data'!F23,FIND(" ",'Rover CSV Data'!F23)-1))+TIMEVALUE(MID('Rover CSV Data'!F23,LEN('Rover CSV Data'!F23)-FIND(" ",'Rover CSV Data'!F23),(FIND(" UTC",'Rover CSV Data'!F23))-(LEN('Rover CSV Data'!F23)-FIND(" ",'Rover CSV Data'!F23)))))</f>
        <v/>
      </c>
      <c r="D23" s="28" t="str">
        <f>IF($B23="","",DATEVALUE(LEFT('Rover CSV Data'!G23,FIND(" ",'Rover CSV Data'!G23)-1))+TIMEVALUE(MID('Rover CSV Data'!G23,LEN('Rover CSV Data'!G23)-FIND(" ",'Rover CSV Data'!G23),(FIND(" UTC",'Rover CSV Data'!G23))-(LEN('Rover CSV Data'!G23)-FIND(" ",'Rover CSV Data'!G23)))))</f>
        <v/>
      </c>
      <c r="E23" s="29" t="str">
        <f t="shared" si="1"/>
        <v/>
      </c>
      <c r="F23" s="26" t="str">
        <f>IF($B23="","",'Rover CSV Data'!J23)</f>
        <v/>
      </c>
      <c r="G23" s="26" t="str">
        <f>IF($B23="","",AVERAGEIFS(POS_Lat,POS_Time,"&gt;="&amp;($C23+CONVERT(Variables!$C$12,"sec","day")),POS_Time,"&lt;="&amp;($D23-CONVERT(Variables!$C$12+1,"sec","day")),POS_Q,"&lt;="&amp;Variables!$C$11))</f>
        <v/>
      </c>
      <c r="H23" s="26" t="str">
        <f>IF($B23="","",AVERAGEIFS(POS_Long,POS_Time,"&gt;="&amp;($C23+CONVERT(Variables!$C$12,"sec","day")),POS_Time,"&lt;="&amp;($D23-CONVERT(Variables!$C$12+1,"sec","day")),POS_Q,"&lt;="&amp;Variables!$C$11))</f>
        <v/>
      </c>
      <c r="I23" s="30" t="str">
        <f>IF($B23="","",AVERAGEIFS(POS_elev,POS_Time,"&gt;="&amp;($C23+CONVERT(Variables!$C$12,"sec","day")),POS_Time,"&lt;="&amp;($D23-CONVERT(Variables!$C$12+1,"sec","day")),POS_Q,"&lt;="&amp;Variables!$C$11)-S23)</f>
        <v/>
      </c>
      <c r="J23" s="26" t="str">
        <f>IF($B23="","",'Rover CSV Data'!D23)</f>
        <v/>
      </c>
      <c r="K23" s="26" t="str">
        <f>IF($B23="","",'Rover CSV Data'!C23)</f>
        <v/>
      </c>
      <c r="L23" s="26" t="str">
        <f>IF($B23="","",'Rover CSV Data'!E23)</f>
        <v/>
      </c>
      <c r="M23" s="30" t="str">
        <f>IF($B23="","",AVERAGEIFS(sdn,POS_Time,"&gt;="&amp;($C23+CONVERT(Variables!$C$12,"sec","day")),POS_Time,"&lt;="&amp;($D23-CONVERT(Variables!$C$12+1,"sec","day")),POS_Q,"&lt;="&amp;Variables!$C$11))</f>
        <v/>
      </c>
      <c r="N23" s="31" t="str">
        <f>IF($B23="","",AVERAGEIFS(sde,POS_Time,"&gt;="&amp;($C23+CONVERT(Variables!$C$12,"sec","day")),POS_Time,"&lt;="&amp;($D23-CONVERT(Variables!$C$12+1,"sec","day")),POS_Q,"&lt;="&amp;Variables!$C$11))</f>
        <v/>
      </c>
      <c r="O23" s="31" t="str">
        <f>IF($B23="","",AVERAGEIFS(sdu,POS_Time,"&gt;="&amp;($C23+CONVERT(Variables!$C$12,"sec","day")),POS_Time,"&lt;="&amp;($D23-CONVERT(Variables!$C$12+1,"sec","day")),POS_Q,"&lt;="&amp;Variables!$C$11))</f>
        <v/>
      </c>
      <c r="P23" s="32" t="str">
        <f t="array" ref="P23">IF($B23="","",STDEV(IF(POS_Time&gt;=($C23+CONVERT(Variables!$C$12,"sec","day")),IF(POS_Time&lt;=($D23-CONVERT(Variables!$C$12+1,"sec","day")),IF(POS_Q&lt;=Variables!$C$11,POS_Lat)))))</f>
        <v/>
      </c>
      <c r="Q23" s="32" t="str">
        <f t="array" ref="Q23">IF($B23="","",STDEV(IF(POS_Time&gt;=($C23+CONVERT(Variables!$C$12,"sec","day")),IF(POS_Time&lt;=($D23-CONVERT(Variables!$C$12+1,"sec","day")),IF(POS_Q&lt;=Variables!$C$11,POS_Long)))))</f>
        <v/>
      </c>
      <c r="R23" s="32" t="str">
        <f t="array" ref="R23">IF($B23="","",STDEV(IF(POS_Time&gt;=($C23+CONVERT(Variables!$C$12,"sec","day")),IF(POS_Time&lt;=($D23-CONVERT(Variables!$C$12+1,"sec","day")),IF(POS_Q&lt;=Variables!$C$11,POS_elev)))))</f>
        <v/>
      </c>
      <c r="S23" s="30" t="str">
        <f>IF($B23="","",'Rover CSV Data'!K23)</f>
        <v/>
      </c>
      <c r="T23" s="26" t="str">
        <f>IF($B23="","",COUNTIFS(POS_Time,"&gt;="&amp;($C23+CONVERT(Variables!$C$12,"sec","day")),POS_Time,"&lt;="&amp;($D23-CONVERT(Variables!$C$12+1,"sec","day")),POS_Q,"&lt;="&amp;Variables!$C$11))</f>
        <v/>
      </c>
      <c r="U23" s="26" t="str">
        <f>IF($B23="","",IF(1&gt;Variables!$C$11,0,COUNTIFS(POS_Time,"&gt;="&amp;($C23+CONVERT(Variables!$C$12,"sec","day")),POS_Time,"&lt;="&amp;($D23-CONVERT(Variables!$C$12+1,"sec","day")),POS_Q,"=1")))</f>
        <v/>
      </c>
      <c r="V23" s="26" t="str">
        <f>IF($B23="","",IF(2&gt;Variables!$C$11,0,COUNTIFS(POS_Time,"&gt;="&amp;($C23+CONVERT(Variables!$C$12,"sec","day")),POS_Time,"&lt;="&amp;($D23-CONVERT(Variables!$C$12+1,"sec","day")),POS_Q,"=2")))</f>
        <v/>
      </c>
      <c r="W23" s="26" t="str">
        <f>IF($B23="","",IF(3&gt;Variables!$C$11,0,COUNTIFS(POS_Time,"&gt;="&amp;($C23+CONVERT(Variables!$C$12,"sec","day")),POS_Time,"&lt;="&amp;($D23-CONVERT(Variables!$C$12+1,"sec","day")),POS_Q,"=3")))</f>
        <v/>
      </c>
      <c r="X23" s="26" t="str">
        <f>IF($B23="","",IF(4&gt;Variables!$C$11,0,COUNTIFS(POS_Time,"&gt;="&amp;($C23+CONVERT(Variables!$C$12,"sec","day")),POS_Time,"&lt;="&amp;($D23-CONVERT(Variables!$C$12+1,"sec","day")),POS_Q,"=4")))</f>
        <v/>
      </c>
      <c r="Y23" s="26" t="str">
        <f>IF($B23="","",IF(5&gt;Variables!$C$11,0,COUNTIFS(POS_Time,"&gt;="&amp;($C23+CONVERT(Variables!$C$12,"sec","day")),POS_Time,"&lt;="&amp;($D23-CONVERT(Variables!$C$12+1,"sec","day")),POS_Q,"=5")))</f>
        <v/>
      </c>
      <c r="Z23" s="26" t="str">
        <f>IF($B23="","",IF(6&gt;Variables!$C$11,0,COUNTIFS(POS_Time,"&gt;="&amp;($C23+CONVERT(Variables!$C$12,"sec","day")),POS_Time,"&lt;="&amp;($D23-CONVERT(Variables!$C$12+1,"sec","day")),POS_Q,"=6")))</f>
        <v/>
      </c>
    </row>
    <row r="24" spans="1:26" x14ac:dyDescent="0.25">
      <c r="A24" s="2">
        <v>23</v>
      </c>
      <c r="B24" s="27" t="str">
        <f>IF((ROW()-1)&lt;=RoverStations,'Rover CSV Data'!B24,"")</f>
        <v/>
      </c>
      <c r="C24" s="28" t="str">
        <f>IF($B24="","",DATEVALUE(LEFT('Rover CSV Data'!F24,FIND(" ",'Rover CSV Data'!F24)-1))+TIMEVALUE(MID('Rover CSV Data'!F24,LEN('Rover CSV Data'!F24)-FIND(" ",'Rover CSV Data'!F24),(FIND(" UTC",'Rover CSV Data'!F24))-(LEN('Rover CSV Data'!F24)-FIND(" ",'Rover CSV Data'!F24)))))</f>
        <v/>
      </c>
      <c r="D24" s="28" t="str">
        <f>IF($B24="","",DATEVALUE(LEFT('Rover CSV Data'!G24,FIND(" ",'Rover CSV Data'!G24)-1))+TIMEVALUE(MID('Rover CSV Data'!G24,LEN('Rover CSV Data'!G24)-FIND(" ",'Rover CSV Data'!G24),(FIND(" UTC",'Rover CSV Data'!G24))-(LEN('Rover CSV Data'!G24)-FIND(" ",'Rover CSV Data'!G24)))))</f>
        <v/>
      </c>
      <c r="E24" s="29" t="str">
        <f t="shared" si="1"/>
        <v/>
      </c>
      <c r="F24" s="26" t="str">
        <f>IF($B24="","",'Rover CSV Data'!J24)</f>
        <v/>
      </c>
      <c r="G24" s="26" t="str">
        <f>IF($B24="","",AVERAGEIFS(POS_Lat,POS_Time,"&gt;="&amp;($C24+CONVERT(Variables!$C$12,"sec","day")),POS_Time,"&lt;="&amp;($D24-CONVERT(Variables!$C$12+1,"sec","day")),POS_Q,"&lt;="&amp;Variables!$C$11))</f>
        <v/>
      </c>
      <c r="H24" s="26" t="str">
        <f>IF($B24="","",AVERAGEIFS(POS_Long,POS_Time,"&gt;="&amp;($C24+CONVERT(Variables!$C$12,"sec","day")),POS_Time,"&lt;="&amp;($D24-CONVERT(Variables!$C$12+1,"sec","day")),POS_Q,"&lt;="&amp;Variables!$C$11))</f>
        <v/>
      </c>
      <c r="I24" s="30" t="str">
        <f>IF($B24="","",AVERAGEIFS(POS_elev,POS_Time,"&gt;="&amp;($C24+CONVERT(Variables!$C$12,"sec","day")),POS_Time,"&lt;="&amp;($D24-CONVERT(Variables!$C$12+1,"sec","day")),POS_Q,"&lt;="&amp;Variables!$C$11)-S24)</f>
        <v/>
      </c>
      <c r="J24" s="26" t="str">
        <f>IF($B24="","",'Rover CSV Data'!D24)</f>
        <v/>
      </c>
      <c r="K24" s="26" t="str">
        <f>IF($B24="","",'Rover CSV Data'!C24)</f>
        <v/>
      </c>
      <c r="L24" s="26" t="str">
        <f>IF($B24="","",'Rover CSV Data'!E24)</f>
        <v/>
      </c>
      <c r="M24" s="30" t="str">
        <f>IF($B24="","",AVERAGEIFS(sdn,POS_Time,"&gt;="&amp;($C24+CONVERT(Variables!$C$12,"sec","day")),POS_Time,"&lt;="&amp;($D24-CONVERT(Variables!$C$12+1,"sec","day")),POS_Q,"&lt;="&amp;Variables!$C$11))</f>
        <v/>
      </c>
      <c r="N24" s="31" t="str">
        <f>IF($B24="","",AVERAGEIFS(sde,POS_Time,"&gt;="&amp;($C24+CONVERT(Variables!$C$12,"sec","day")),POS_Time,"&lt;="&amp;($D24-CONVERT(Variables!$C$12+1,"sec","day")),POS_Q,"&lt;="&amp;Variables!$C$11))</f>
        <v/>
      </c>
      <c r="O24" s="31" t="str">
        <f>IF($B24="","",AVERAGEIFS(sdu,POS_Time,"&gt;="&amp;($C24+CONVERT(Variables!$C$12,"sec","day")),POS_Time,"&lt;="&amp;($D24-CONVERT(Variables!$C$12+1,"sec","day")),POS_Q,"&lt;="&amp;Variables!$C$11))</f>
        <v/>
      </c>
      <c r="P24" s="32" t="str">
        <f t="array" ref="P24">IF($B24="","",STDEV(IF(POS_Time&gt;=($C24+CONVERT(Variables!$C$12,"sec","day")),IF(POS_Time&lt;=($D24-CONVERT(Variables!$C$12+1,"sec","day")),IF(POS_Q&lt;=Variables!$C$11,POS_Lat)))))</f>
        <v/>
      </c>
      <c r="Q24" s="32" t="str">
        <f t="array" ref="Q24">IF($B24="","",STDEV(IF(POS_Time&gt;=($C24+CONVERT(Variables!$C$12,"sec","day")),IF(POS_Time&lt;=($D24-CONVERT(Variables!$C$12+1,"sec","day")),IF(POS_Q&lt;=Variables!$C$11,POS_Long)))))</f>
        <v/>
      </c>
      <c r="R24" s="32" t="str">
        <f t="array" ref="R24">IF($B24="","",STDEV(IF(POS_Time&gt;=($C24+CONVERT(Variables!$C$12,"sec","day")),IF(POS_Time&lt;=($D24-CONVERT(Variables!$C$12+1,"sec","day")),IF(POS_Q&lt;=Variables!$C$11,POS_elev)))))</f>
        <v/>
      </c>
      <c r="S24" s="30" t="str">
        <f>IF($B24="","",'Rover CSV Data'!K24)</f>
        <v/>
      </c>
      <c r="T24" s="26" t="str">
        <f>IF($B24="","",COUNTIFS(POS_Time,"&gt;="&amp;($C24+CONVERT(Variables!$C$12,"sec","day")),POS_Time,"&lt;="&amp;($D24-CONVERT(Variables!$C$12+1,"sec","day")),POS_Q,"&lt;="&amp;Variables!$C$11))</f>
        <v/>
      </c>
      <c r="U24" s="26" t="str">
        <f>IF($B24="","",IF(1&gt;Variables!$C$11,0,COUNTIFS(POS_Time,"&gt;="&amp;($C24+CONVERT(Variables!$C$12,"sec","day")),POS_Time,"&lt;="&amp;($D24-CONVERT(Variables!$C$12+1,"sec","day")),POS_Q,"=1")))</f>
        <v/>
      </c>
      <c r="V24" s="26" t="str">
        <f>IF($B24="","",IF(2&gt;Variables!$C$11,0,COUNTIFS(POS_Time,"&gt;="&amp;($C24+CONVERT(Variables!$C$12,"sec","day")),POS_Time,"&lt;="&amp;($D24-CONVERT(Variables!$C$12+1,"sec","day")),POS_Q,"=2")))</f>
        <v/>
      </c>
      <c r="W24" s="26" t="str">
        <f>IF($B24="","",IF(3&gt;Variables!$C$11,0,COUNTIFS(POS_Time,"&gt;="&amp;($C24+CONVERT(Variables!$C$12,"sec","day")),POS_Time,"&lt;="&amp;($D24-CONVERT(Variables!$C$12+1,"sec","day")),POS_Q,"=3")))</f>
        <v/>
      </c>
      <c r="X24" s="26" t="str">
        <f>IF($B24="","",IF(4&gt;Variables!$C$11,0,COUNTIFS(POS_Time,"&gt;="&amp;($C24+CONVERT(Variables!$C$12,"sec","day")),POS_Time,"&lt;="&amp;($D24-CONVERT(Variables!$C$12+1,"sec","day")),POS_Q,"=4")))</f>
        <v/>
      </c>
      <c r="Y24" s="26" t="str">
        <f>IF($B24="","",IF(5&gt;Variables!$C$11,0,COUNTIFS(POS_Time,"&gt;="&amp;($C24+CONVERT(Variables!$C$12,"sec","day")),POS_Time,"&lt;="&amp;($D24-CONVERT(Variables!$C$12+1,"sec","day")),POS_Q,"=5")))</f>
        <v/>
      </c>
      <c r="Z24" s="26" t="str">
        <f>IF($B24="","",IF(6&gt;Variables!$C$11,0,COUNTIFS(POS_Time,"&gt;="&amp;($C24+CONVERT(Variables!$C$12,"sec","day")),POS_Time,"&lt;="&amp;($D24-CONVERT(Variables!$C$12+1,"sec","day")),POS_Q,"=6")))</f>
        <v/>
      </c>
    </row>
    <row r="25" spans="1:26" x14ac:dyDescent="0.25">
      <c r="A25" s="2">
        <v>24</v>
      </c>
      <c r="B25" s="27" t="str">
        <f>IF((ROW()-1)&lt;=RoverStations,'Rover CSV Data'!B25,"")</f>
        <v/>
      </c>
      <c r="C25" s="28" t="str">
        <f>IF($B25="","",DATEVALUE(LEFT('Rover CSV Data'!F25,FIND(" ",'Rover CSV Data'!F25)-1))+TIMEVALUE(MID('Rover CSV Data'!F25,LEN('Rover CSV Data'!F25)-FIND(" ",'Rover CSV Data'!F25),(FIND(" UTC",'Rover CSV Data'!F25))-(LEN('Rover CSV Data'!F25)-FIND(" ",'Rover CSV Data'!F25)))))</f>
        <v/>
      </c>
      <c r="D25" s="28" t="str">
        <f>IF($B25="","",DATEVALUE(LEFT('Rover CSV Data'!G25,FIND(" ",'Rover CSV Data'!G25)-1))+TIMEVALUE(MID('Rover CSV Data'!G25,LEN('Rover CSV Data'!G25)-FIND(" ",'Rover CSV Data'!G25),(FIND(" UTC",'Rover CSV Data'!G25))-(LEN('Rover CSV Data'!G25)-FIND(" ",'Rover CSV Data'!G25)))))</f>
        <v/>
      </c>
      <c r="E25" s="29" t="str">
        <f t="shared" si="1"/>
        <v/>
      </c>
      <c r="F25" s="26" t="str">
        <f>IF($B25="","",'Rover CSV Data'!J25)</f>
        <v/>
      </c>
      <c r="G25" s="26" t="str">
        <f>IF($B25="","",AVERAGEIFS(POS_Lat,POS_Time,"&gt;="&amp;($C25+CONVERT(Variables!$C$12,"sec","day")),POS_Time,"&lt;="&amp;($D25-CONVERT(Variables!$C$12+1,"sec","day")),POS_Q,"&lt;="&amp;Variables!$C$11))</f>
        <v/>
      </c>
      <c r="H25" s="26" t="str">
        <f>IF($B25="","",AVERAGEIFS(POS_Long,POS_Time,"&gt;="&amp;($C25+CONVERT(Variables!$C$12,"sec","day")),POS_Time,"&lt;="&amp;($D25-CONVERT(Variables!$C$12+1,"sec","day")),POS_Q,"&lt;="&amp;Variables!$C$11))</f>
        <v/>
      </c>
      <c r="I25" s="30" t="str">
        <f>IF($B25="","",AVERAGEIFS(POS_elev,POS_Time,"&gt;="&amp;($C25+CONVERT(Variables!$C$12,"sec","day")),POS_Time,"&lt;="&amp;($D25-CONVERT(Variables!$C$12+1,"sec","day")),POS_Q,"&lt;="&amp;Variables!$C$11)-S25)</f>
        <v/>
      </c>
      <c r="J25" s="26" t="str">
        <f>IF($B25="","",'Rover CSV Data'!D25)</f>
        <v/>
      </c>
      <c r="K25" s="26" t="str">
        <f>IF($B25="","",'Rover CSV Data'!C25)</f>
        <v/>
      </c>
      <c r="L25" s="26" t="str">
        <f>IF($B25="","",'Rover CSV Data'!E25)</f>
        <v/>
      </c>
      <c r="M25" s="30" t="str">
        <f>IF($B25="","",AVERAGEIFS(sdn,POS_Time,"&gt;="&amp;($C25+CONVERT(Variables!$C$12,"sec","day")),POS_Time,"&lt;="&amp;($D25-CONVERT(Variables!$C$12+1,"sec","day")),POS_Q,"&lt;="&amp;Variables!$C$11))</f>
        <v/>
      </c>
      <c r="N25" s="31" t="str">
        <f>IF($B25="","",AVERAGEIFS(sde,POS_Time,"&gt;="&amp;($C25+CONVERT(Variables!$C$12,"sec","day")),POS_Time,"&lt;="&amp;($D25-CONVERT(Variables!$C$12+1,"sec","day")),POS_Q,"&lt;="&amp;Variables!$C$11))</f>
        <v/>
      </c>
      <c r="O25" s="31" t="str">
        <f>IF($B25="","",AVERAGEIFS(sdu,POS_Time,"&gt;="&amp;($C25+CONVERT(Variables!$C$12,"sec","day")),POS_Time,"&lt;="&amp;($D25-CONVERT(Variables!$C$12+1,"sec","day")),POS_Q,"&lt;="&amp;Variables!$C$11))</f>
        <v/>
      </c>
      <c r="P25" s="32" t="str">
        <f t="array" ref="P25">IF($B25="","",STDEV(IF(POS_Time&gt;=($C25+CONVERT(Variables!$C$12,"sec","day")),IF(POS_Time&lt;=($D25-CONVERT(Variables!$C$12+1,"sec","day")),IF(POS_Q&lt;=Variables!$C$11,POS_Lat)))))</f>
        <v/>
      </c>
      <c r="Q25" s="32" t="str">
        <f t="array" ref="Q25">IF($B25="","",STDEV(IF(POS_Time&gt;=($C25+CONVERT(Variables!$C$12,"sec","day")),IF(POS_Time&lt;=($D25-CONVERT(Variables!$C$12+1,"sec","day")),IF(POS_Q&lt;=Variables!$C$11,POS_Long)))))</f>
        <v/>
      </c>
      <c r="R25" s="32" t="str">
        <f t="array" ref="R25">IF($B25="","",STDEV(IF(POS_Time&gt;=($C25+CONVERT(Variables!$C$12,"sec","day")),IF(POS_Time&lt;=($D25-CONVERT(Variables!$C$12+1,"sec","day")),IF(POS_Q&lt;=Variables!$C$11,POS_elev)))))</f>
        <v/>
      </c>
      <c r="S25" s="30" t="str">
        <f>IF($B25="","",'Rover CSV Data'!K25)</f>
        <v/>
      </c>
      <c r="T25" s="26" t="str">
        <f>IF($B25="","",COUNTIFS(POS_Time,"&gt;="&amp;($C25+CONVERT(Variables!$C$12,"sec","day")),POS_Time,"&lt;="&amp;($D25-CONVERT(Variables!$C$12+1,"sec","day")),POS_Q,"&lt;="&amp;Variables!$C$11))</f>
        <v/>
      </c>
      <c r="U25" s="26" t="str">
        <f>IF($B25="","",IF(1&gt;Variables!$C$11,0,COUNTIFS(POS_Time,"&gt;="&amp;($C25+CONVERT(Variables!$C$12,"sec","day")),POS_Time,"&lt;="&amp;($D25-CONVERT(Variables!$C$12+1,"sec","day")),POS_Q,"=1")))</f>
        <v/>
      </c>
      <c r="V25" s="26" t="str">
        <f>IF($B25="","",IF(2&gt;Variables!$C$11,0,COUNTIFS(POS_Time,"&gt;="&amp;($C25+CONVERT(Variables!$C$12,"sec","day")),POS_Time,"&lt;="&amp;($D25-CONVERT(Variables!$C$12+1,"sec","day")),POS_Q,"=2")))</f>
        <v/>
      </c>
      <c r="W25" s="26" t="str">
        <f>IF($B25="","",IF(3&gt;Variables!$C$11,0,COUNTIFS(POS_Time,"&gt;="&amp;($C25+CONVERT(Variables!$C$12,"sec","day")),POS_Time,"&lt;="&amp;($D25-CONVERT(Variables!$C$12+1,"sec","day")),POS_Q,"=3")))</f>
        <v/>
      </c>
      <c r="X25" s="26" t="str">
        <f>IF($B25="","",IF(4&gt;Variables!$C$11,0,COUNTIFS(POS_Time,"&gt;="&amp;($C25+CONVERT(Variables!$C$12,"sec","day")),POS_Time,"&lt;="&amp;($D25-CONVERT(Variables!$C$12+1,"sec","day")),POS_Q,"=4")))</f>
        <v/>
      </c>
      <c r="Y25" s="26" t="str">
        <f>IF($B25="","",IF(5&gt;Variables!$C$11,0,COUNTIFS(POS_Time,"&gt;="&amp;($C25+CONVERT(Variables!$C$12,"sec","day")),POS_Time,"&lt;="&amp;($D25-CONVERT(Variables!$C$12+1,"sec","day")),POS_Q,"=5")))</f>
        <v/>
      </c>
      <c r="Z25" s="26" t="str">
        <f>IF($B25="","",IF(6&gt;Variables!$C$11,0,COUNTIFS(POS_Time,"&gt;="&amp;($C25+CONVERT(Variables!$C$12,"sec","day")),POS_Time,"&lt;="&amp;($D25-CONVERT(Variables!$C$12+1,"sec","day")),POS_Q,"=6")))</f>
        <v/>
      </c>
    </row>
    <row r="26" spans="1:26" x14ac:dyDescent="0.25">
      <c r="A26" s="2">
        <v>25</v>
      </c>
      <c r="B26" s="27" t="str">
        <f>IF((ROW()-1)&lt;=RoverStations,'Rover CSV Data'!B26,"")</f>
        <v/>
      </c>
      <c r="C26" s="28" t="str">
        <f>IF($B26="","",DATEVALUE(LEFT('Rover CSV Data'!F26,FIND(" ",'Rover CSV Data'!F26)-1))+TIMEVALUE(MID('Rover CSV Data'!F26,LEN('Rover CSV Data'!F26)-FIND(" ",'Rover CSV Data'!F26),(FIND(" UTC",'Rover CSV Data'!F26))-(LEN('Rover CSV Data'!F26)-FIND(" ",'Rover CSV Data'!F26)))))</f>
        <v/>
      </c>
      <c r="D26" s="28" t="str">
        <f>IF($B26="","",DATEVALUE(LEFT('Rover CSV Data'!G26,FIND(" ",'Rover CSV Data'!G26)-1))+TIMEVALUE(MID('Rover CSV Data'!G26,LEN('Rover CSV Data'!G26)-FIND(" ",'Rover CSV Data'!G26),(FIND(" UTC",'Rover CSV Data'!G26))-(LEN('Rover CSV Data'!G26)-FIND(" ",'Rover CSV Data'!G26)))))</f>
        <v/>
      </c>
      <c r="E26" s="29" t="str">
        <f t="shared" si="1"/>
        <v/>
      </c>
      <c r="F26" s="26" t="str">
        <f>IF($B26="","",'Rover CSV Data'!J26)</f>
        <v/>
      </c>
      <c r="G26" s="26" t="str">
        <f>IF($B26="","",AVERAGEIFS(POS_Lat,POS_Time,"&gt;="&amp;($C26+CONVERT(Variables!$C$12,"sec","day")),POS_Time,"&lt;="&amp;($D26-CONVERT(Variables!$C$12+1,"sec","day")),POS_Q,"&lt;="&amp;Variables!$C$11))</f>
        <v/>
      </c>
      <c r="H26" s="26" t="str">
        <f>IF($B26="","",AVERAGEIFS(POS_Long,POS_Time,"&gt;="&amp;($C26+CONVERT(Variables!$C$12,"sec","day")),POS_Time,"&lt;="&amp;($D26-CONVERT(Variables!$C$12+1,"sec","day")),POS_Q,"&lt;="&amp;Variables!$C$11))</f>
        <v/>
      </c>
      <c r="I26" s="30" t="str">
        <f>IF($B26="","",AVERAGEIFS(POS_elev,POS_Time,"&gt;="&amp;($C26+CONVERT(Variables!$C$12,"sec","day")),POS_Time,"&lt;="&amp;($D26-CONVERT(Variables!$C$12+1,"sec","day")),POS_Q,"&lt;="&amp;Variables!$C$11)-S26)</f>
        <v/>
      </c>
      <c r="J26" s="26" t="str">
        <f>IF($B26="","",'Rover CSV Data'!D26)</f>
        <v/>
      </c>
      <c r="K26" s="26" t="str">
        <f>IF($B26="","",'Rover CSV Data'!C26)</f>
        <v/>
      </c>
      <c r="L26" s="26" t="str">
        <f>IF($B26="","",'Rover CSV Data'!E26)</f>
        <v/>
      </c>
      <c r="M26" s="30" t="str">
        <f>IF($B26="","",AVERAGEIFS(sdn,POS_Time,"&gt;="&amp;($C26+CONVERT(Variables!$C$12,"sec","day")),POS_Time,"&lt;="&amp;($D26-CONVERT(Variables!$C$12+1,"sec","day")),POS_Q,"&lt;="&amp;Variables!$C$11))</f>
        <v/>
      </c>
      <c r="N26" s="31" t="str">
        <f>IF($B26="","",AVERAGEIFS(sde,POS_Time,"&gt;="&amp;($C26+CONVERT(Variables!$C$12,"sec","day")),POS_Time,"&lt;="&amp;($D26-CONVERT(Variables!$C$12+1,"sec","day")),POS_Q,"&lt;="&amp;Variables!$C$11))</f>
        <v/>
      </c>
      <c r="O26" s="31" t="str">
        <f>IF($B26="","",AVERAGEIFS(sdu,POS_Time,"&gt;="&amp;($C26+CONVERT(Variables!$C$12,"sec","day")),POS_Time,"&lt;="&amp;($D26-CONVERT(Variables!$C$12+1,"sec","day")),POS_Q,"&lt;="&amp;Variables!$C$11))</f>
        <v/>
      </c>
      <c r="P26" s="32" t="str">
        <f t="array" ref="P26">IF($B26="","",STDEV(IF(POS_Time&gt;=($C26+CONVERT(Variables!$C$12,"sec","day")),IF(POS_Time&lt;=($D26-CONVERT(Variables!$C$12+1,"sec","day")),IF(POS_Q&lt;=Variables!$C$11,POS_Lat)))))</f>
        <v/>
      </c>
      <c r="Q26" s="32" t="str">
        <f t="array" ref="Q26">IF($B26="","",STDEV(IF(POS_Time&gt;=($C26+CONVERT(Variables!$C$12,"sec","day")),IF(POS_Time&lt;=($D26-CONVERT(Variables!$C$12+1,"sec","day")),IF(POS_Q&lt;=Variables!$C$11,POS_Long)))))</f>
        <v/>
      </c>
      <c r="R26" s="32" t="str">
        <f t="array" ref="R26">IF($B26="","",STDEV(IF(POS_Time&gt;=($C26+CONVERT(Variables!$C$12,"sec","day")),IF(POS_Time&lt;=($D26-CONVERT(Variables!$C$12+1,"sec","day")),IF(POS_Q&lt;=Variables!$C$11,POS_elev)))))</f>
        <v/>
      </c>
      <c r="S26" s="30" t="str">
        <f>IF($B26="","",'Rover CSV Data'!K26)</f>
        <v/>
      </c>
      <c r="T26" s="26" t="str">
        <f>IF($B26="","",COUNTIFS(POS_Time,"&gt;="&amp;($C26+CONVERT(Variables!$C$12,"sec","day")),POS_Time,"&lt;="&amp;($D26-CONVERT(Variables!$C$12+1,"sec","day")),POS_Q,"&lt;="&amp;Variables!$C$11))</f>
        <v/>
      </c>
      <c r="U26" s="26" t="str">
        <f>IF($B26="","",IF(1&gt;Variables!$C$11,0,COUNTIFS(POS_Time,"&gt;="&amp;($C26+CONVERT(Variables!$C$12,"sec","day")),POS_Time,"&lt;="&amp;($D26-CONVERT(Variables!$C$12+1,"sec","day")),POS_Q,"=1")))</f>
        <v/>
      </c>
      <c r="V26" s="26" t="str">
        <f>IF($B26="","",IF(2&gt;Variables!$C$11,0,COUNTIFS(POS_Time,"&gt;="&amp;($C26+CONVERT(Variables!$C$12,"sec","day")),POS_Time,"&lt;="&amp;($D26-CONVERT(Variables!$C$12+1,"sec","day")),POS_Q,"=2")))</f>
        <v/>
      </c>
      <c r="W26" s="26" t="str">
        <f>IF($B26="","",IF(3&gt;Variables!$C$11,0,COUNTIFS(POS_Time,"&gt;="&amp;($C26+CONVERT(Variables!$C$12,"sec","day")),POS_Time,"&lt;="&amp;($D26-CONVERT(Variables!$C$12+1,"sec","day")),POS_Q,"=3")))</f>
        <v/>
      </c>
      <c r="X26" s="26" t="str">
        <f>IF($B26="","",IF(4&gt;Variables!$C$11,0,COUNTIFS(POS_Time,"&gt;="&amp;($C26+CONVERT(Variables!$C$12,"sec","day")),POS_Time,"&lt;="&amp;($D26-CONVERT(Variables!$C$12+1,"sec","day")),POS_Q,"=4")))</f>
        <v/>
      </c>
      <c r="Y26" s="26" t="str">
        <f>IF($B26="","",IF(5&gt;Variables!$C$11,0,COUNTIFS(POS_Time,"&gt;="&amp;($C26+CONVERT(Variables!$C$12,"sec","day")),POS_Time,"&lt;="&amp;($D26-CONVERT(Variables!$C$12+1,"sec","day")),POS_Q,"=5")))</f>
        <v/>
      </c>
      <c r="Z26" s="26" t="str">
        <f>IF($B26="","",IF(6&gt;Variables!$C$11,0,COUNTIFS(POS_Time,"&gt;="&amp;($C26+CONVERT(Variables!$C$12,"sec","day")),POS_Time,"&lt;="&amp;($D26-CONVERT(Variables!$C$12+1,"sec","day")),POS_Q,"=6")))</f>
        <v/>
      </c>
    </row>
    <row r="27" spans="1:26" x14ac:dyDescent="0.25">
      <c r="A27" s="2">
        <v>26</v>
      </c>
      <c r="B27" s="27" t="str">
        <f>IF((ROW()-1)&lt;=RoverStations,'Rover CSV Data'!B27,"")</f>
        <v/>
      </c>
      <c r="C27" s="28" t="str">
        <f>IF($B27="","",DATEVALUE(LEFT('Rover CSV Data'!F27,FIND(" ",'Rover CSV Data'!F27)-1))+TIMEVALUE(MID('Rover CSV Data'!F27,LEN('Rover CSV Data'!F27)-FIND(" ",'Rover CSV Data'!F27),(FIND(" UTC",'Rover CSV Data'!F27))-(LEN('Rover CSV Data'!F27)-FIND(" ",'Rover CSV Data'!F27)))))</f>
        <v/>
      </c>
      <c r="D27" s="28" t="str">
        <f>IF($B27="","",DATEVALUE(LEFT('Rover CSV Data'!G27,FIND(" ",'Rover CSV Data'!G27)-1))+TIMEVALUE(MID('Rover CSV Data'!G27,LEN('Rover CSV Data'!G27)-FIND(" ",'Rover CSV Data'!G27),(FIND(" UTC",'Rover CSV Data'!G27))-(LEN('Rover CSV Data'!G27)-FIND(" ",'Rover CSV Data'!G27)))))</f>
        <v/>
      </c>
      <c r="E27" s="29" t="str">
        <f t="shared" si="1"/>
        <v/>
      </c>
      <c r="F27" s="26" t="str">
        <f>IF($B27="","",'Rover CSV Data'!J27)</f>
        <v/>
      </c>
      <c r="G27" s="26" t="str">
        <f>IF($B27="","",AVERAGEIFS(POS_Lat,POS_Time,"&gt;="&amp;($C27+CONVERT(Variables!$C$12,"sec","day")),POS_Time,"&lt;="&amp;($D27-CONVERT(Variables!$C$12+1,"sec","day")),POS_Q,"&lt;="&amp;Variables!$C$11))</f>
        <v/>
      </c>
      <c r="H27" s="26" t="str">
        <f>IF($B27="","",AVERAGEIFS(POS_Long,POS_Time,"&gt;="&amp;($C27+CONVERT(Variables!$C$12,"sec","day")),POS_Time,"&lt;="&amp;($D27-CONVERT(Variables!$C$12+1,"sec","day")),POS_Q,"&lt;="&amp;Variables!$C$11))</f>
        <v/>
      </c>
      <c r="I27" s="30" t="str">
        <f>IF($B27="","",AVERAGEIFS(POS_elev,POS_Time,"&gt;="&amp;($C27+CONVERT(Variables!$C$12,"sec","day")),POS_Time,"&lt;="&amp;($D27-CONVERT(Variables!$C$12+1,"sec","day")),POS_Q,"&lt;="&amp;Variables!$C$11)-S27)</f>
        <v/>
      </c>
      <c r="J27" s="26" t="str">
        <f>IF($B27="","",'Rover CSV Data'!D27)</f>
        <v/>
      </c>
      <c r="K27" s="26" t="str">
        <f>IF($B27="","",'Rover CSV Data'!C27)</f>
        <v/>
      </c>
      <c r="L27" s="26" t="str">
        <f>IF($B27="","",'Rover CSV Data'!E27)</f>
        <v/>
      </c>
      <c r="M27" s="30" t="str">
        <f>IF($B27="","",AVERAGEIFS(sdn,POS_Time,"&gt;="&amp;($C27+CONVERT(Variables!$C$12,"sec","day")),POS_Time,"&lt;="&amp;($D27-CONVERT(Variables!$C$12+1,"sec","day")),POS_Q,"&lt;="&amp;Variables!$C$11))</f>
        <v/>
      </c>
      <c r="N27" s="31" t="str">
        <f>IF($B27="","",AVERAGEIFS(sde,POS_Time,"&gt;="&amp;($C27+CONVERT(Variables!$C$12,"sec","day")),POS_Time,"&lt;="&amp;($D27-CONVERT(Variables!$C$12+1,"sec","day")),POS_Q,"&lt;="&amp;Variables!$C$11))</f>
        <v/>
      </c>
      <c r="O27" s="31" t="str">
        <f>IF($B27="","",AVERAGEIFS(sdu,POS_Time,"&gt;="&amp;($C27+CONVERT(Variables!$C$12,"sec","day")),POS_Time,"&lt;="&amp;($D27-CONVERT(Variables!$C$12+1,"sec","day")),POS_Q,"&lt;="&amp;Variables!$C$11))</f>
        <v/>
      </c>
      <c r="P27" s="32" t="str">
        <f t="array" ref="P27">IF($B27="","",STDEV(IF(POS_Time&gt;=($C27+CONVERT(Variables!$C$12,"sec","day")),IF(POS_Time&lt;=($D27-CONVERT(Variables!$C$12+1,"sec","day")),IF(POS_Q&lt;=Variables!$C$11,POS_Lat)))))</f>
        <v/>
      </c>
      <c r="Q27" s="32" t="str">
        <f t="array" ref="Q27">IF($B27="","",STDEV(IF(POS_Time&gt;=($C27+CONVERT(Variables!$C$12,"sec","day")),IF(POS_Time&lt;=($D27-CONVERT(Variables!$C$12+1,"sec","day")),IF(POS_Q&lt;=Variables!$C$11,POS_Long)))))</f>
        <v/>
      </c>
      <c r="R27" s="32" t="str">
        <f t="array" ref="R27">IF($B27="","",STDEV(IF(POS_Time&gt;=($C27+CONVERT(Variables!$C$12,"sec","day")),IF(POS_Time&lt;=($D27-CONVERT(Variables!$C$12+1,"sec","day")),IF(POS_Q&lt;=Variables!$C$11,POS_elev)))))</f>
        <v/>
      </c>
      <c r="S27" s="30" t="str">
        <f>IF($B27="","",'Rover CSV Data'!K27)</f>
        <v/>
      </c>
      <c r="T27" s="26" t="str">
        <f>IF($B27="","",COUNTIFS(POS_Time,"&gt;="&amp;($C27+CONVERT(Variables!$C$12,"sec","day")),POS_Time,"&lt;="&amp;($D27-CONVERT(Variables!$C$12+1,"sec","day")),POS_Q,"&lt;="&amp;Variables!$C$11))</f>
        <v/>
      </c>
      <c r="U27" s="26" t="str">
        <f>IF($B27="","",IF(1&gt;Variables!$C$11,0,COUNTIFS(POS_Time,"&gt;="&amp;($C27+CONVERT(Variables!$C$12,"sec","day")),POS_Time,"&lt;="&amp;($D27-CONVERT(Variables!$C$12+1,"sec","day")),POS_Q,"=1")))</f>
        <v/>
      </c>
      <c r="V27" s="26" t="str">
        <f>IF($B27="","",IF(2&gt;Variables!$C$11,0,COUNTIFS(POS_Time,"&gt;="&amp;($C27+CONVERT(Variables!$C$12,"sec","day")),POS_Time,"&lt;="&amp;($D27-CONVERT(Variables!$C$12+1,"sec","day")),POS_Q,"=2")))</f>
        <v/>
      </c>
      <c r="W27" s="26" t="str">
        <f>IF($B27="","",IF(3&gt;Variables!$C$11,0,COUNTIFS(POS_Time,"&gt;="&amp;($C27+CONVERT(Variables!$C$12,"sec","day")),POS_Time,"&lt;="&amp;($D27-CONVERT(Variables!$C$12+1,"sec","day")),POS_Q,"=3")))</f>
        <v/>
      </c>
      <c r="X27" s="26" t="str">
        <f>IF($B27="","",IF(4&gt;Variables!$C$11,0,COUNTIFS(POS_Time,"&gt;="&amp;($C27+CONVERT(Variables!$C$12,"sec","day")),POS_Time,"&lt;="&amp;($D27-CONVERT(Variables!$C$12+1,"sec","day")),POS_Q,"=4")))</f>
        <v/>
      </c>
      <c r="Y27" s="26" t="str">
        <f>IF($B27="","",IF(5&gt;Variables!$C$11,0,COUNTIFS(POS_Time,"&gt;="&amp;($C27+CONVERT(Variables!$C$12,"sec","day")),POS_Time,"&lt;="&amp;($D27-CONVERT(Variables!$C$12+1,"sec","day")),POS_Q,"=5")))</f>
        <v/>
      </c>
      <c r="Z27" s="26" t="str">
        <f>IF($B27="","",IF(6&gt;Variables!$C$11,0,COUNTIFS(POS_Time,"&gt;="&amp;($C27+CONVERT(Variables!$C$12,"sec","day")),POS_Time,"&lt;="&amp;($D27-CONVERT(Variables!$C$12+1,"sec","day")),POS_Q,"=6")))</f>
        <v/>
      </c>
    </row>
    <row r="28" spans="1:26" x14ac:dyDescent="0.25">
      <c r="A28" s="2">
        <v>27</v>
      </c>
      <c r="B28" s="27" t="str">
        <f>IF((ROW()-1)&lt;=RoverStations,'Rover CSV Data'!B28,"")</f>
        <v/>
      </c>
      <c r="C28" s="28" t="str">
        <f>IF($B28="","",DATEVALUE(LEFT('Rover CSV Data'!F28,FIND(" ",'Rover CSV Data'!F28)-1))+TIMEVALUE(MID('Rover CSV Data'!F28,LEN('Rover CSV Data'!F28)-FIND(" ",'Rover CSV Data'!F28),(FIND(" UTC",'Rover CSV Data'!F28))-(LEN('Rover CSV Data'!F28)-FIND(" ",'Rover CSV Data'!F28)))))</f>
        <v/>
      </c>
      <c r="D28" s="28" t="str">
        <f>IF($B28="","",DATEVALUE(LEFT('Rover CSV Data'!G28,FIND(" ",'Rover CSV Data'!G28)-1))+TIMEVALUE(MID('Rover CSV Data'!G28,LEN('Rover CSV Data'!G28)-FIND(" ",'Rover CSV Data'!G28),(FIND(" UTC",'Rover CSV Data'!G28))-(LEN('Rover CSV Data'!G28)-FIND(" ",'Rover CSV Data'!G28)))))</f>
        <v/>
      </c>
      <c r="E28" s="29" t="str">
        <f t="shared" si="1"/>
        <v/>
      </c>
      <c r="F28" s="26" t="str">
        <f>IF($B28="","",'Rover CSV Data'!J28)</f>
        <v/>
      </c>
      <c r="G28" s="26" t="str">
        <f>IF($B28="","",AVERAGEIFS(POS_Lat,POS_Time,"&gt;="&amp;($C28+CONVERT(Variables!$C$12,"sec","day")),POS_Time,"&lt;="&amp;($D28-CONVERT(Variables!$C$12+1,"sec","day")),POS_Q,"&lt;="&amp;Variables!$C$11))</f>
        <v/>
      </c>
      <c r="H28" s="26" t="str">
        <f>IF($B28="","",AVERAGEIFS(POS_Long,POS_Time,"&gt;="&amp;($C28+CONVERT(Variables!$C$12,"sec","day")),POS_Time,"&lt;="&amp;($D28-CONVERT(Variables!$C$12+1,"sec","day")),POS_Q,"&lt;="&amp;Variables!$C$11))</f>
        <v/>
      </c>
      <c r="I28" s="30" t="str">
        <f>IF($B28="","",AVERAGEIFS(POS_elev,POS_Time,"&gt;="&amp;($C28+CONVERT(Variables!$C$12,"sec","day")),POS_Time,"&lt;="&amp;($D28-CONVERT(Variables!$C$12+1,"sec","day")),POS_Q,"&lt;="&amp;Variables!$C$11)-S28)</f>
        <v/>
      </c>
      <c r="J28" s="26" t="str">
        <f>IF($B28="","",'Rover CSV Data'!D28)</f>
        <v/>
      </c>
      <c r="K28" s="26" t="str">
        <f>IF($B28="","",'Rover CSV Data'!C28)</f>
        <v/>
      </c>
      <c r="L28" s="26" t="str">
        <f>IF($B28="","",'Rover CSV Data'!E28)</f>
        <v/>
      </c>
      <c r="M28" s="30" t="str">
        <f>IF($B28="","",AVERAGEIFS(sdn,POS_Time,"&gt;="&amp;($C28+CONVERT(Variables!$C$12,"sec","day")),POS_Time,"&lt;="&amp;($D28-CONVERT(Variables!$C$12+1,"sec","day")),POS_Q,"&lt;="&amp;Variables!$C$11))</f>
        <v/>
      </c>
      <c r="N28" s="31" t="str">
        <f>IF($B28="","",AVERAGEIFS(sde,POS_Time,"&gt;="&amp;($C28+CONVERT(Variables!$C$12,"sec","day")),POS_Time,"&lt;="&amp;($D28-CONVERT(Variables!$C$12+1,"sec","day")),POS_Q,"&lt;="&amp;Variables!$C$11))</f>
        <v/>
      </c>
      <c r="O28" s="31" t="str">
        <f>IF($B28="","",AVERAGEIFS(sdu,POS_Time,"&gt;="&amp;($C28+CONVERT(Variables!$C$12,"sec","day")),POS_Time,"&lt;="&amp;($D28-CONVERT(Variables!$C$12+1,"sec","day")),POS_Q,"&lt;="&amp;Variables!$C$11))</f>
        <v/>
      </c>
      <c r="P28" s="32" t="str">
        <f t="array" ref="P28">IF($B28="","",STDEV(IF(POS_Time&gt;=($C28+CONVERT(Variables!$C$12,"sec","day")),IF(POS_Time&lt;=($D28-CONVERT(Variables!$C$12+1,"sec","day")),IF(POS_Q&lt;=Variables!$C$11,POS_Lat)))))</f>
        <v/>
      </c>
      <c r="Q28" s="32" t="str">
        <f t="array" ref="Q28">IF($B28="","",STDEV(IF(POS_Time&gt;=($C28+CONVERT(Variables!$C$12,"sec","day")),IF(POS_Time&lt;=($D28-CONVERT(Variables!$C$12+1,"sec","day")),IF(POS_Q&lt;=Variables!$C$11,POS_Long)))))</f>
        <v/>
      </c>
      <c r="R28" s="32" t="str">
        <f t="array" ref="R28">IF($B28="","",STDEV(IF(POS_Time&gt;=($C28+CONVERT(Variables!$C$12,"sec","day")),IF(POS_Time&lt;=($D28-CONVERT(Variables!$C$12+1,"sec","day")),IF(POS_Q&lt;=Variables!$C$11,POS_elev)))))</f>
        <v/>
      </c>
      <c r="S28" s="30" t="str">
        <f>IF($B28="","",'Rover CSV Data'!K28)</f>
        <v/>
      </c>
      <c r="T28" s="26" t="str">
        <f>IF($B28="","",COUNTIFS(POS_Time,"&gt;="&amp;($C28+CONVERT(Variables!$C$12,"sec","day")),POS_Time,"&lt;="&amp;($D28-CONVERT(Variables!$C$12+1,"sec","day")),POS_Q,"&lt;="&amp;Variables!$C$11))</f>
        <v/>
      </c>
      <c r="U28" s="26" t="str">
        <f>IF($B28="","",IF(1&gt;Variables!$C$11,0,COUNTIFS(POS_Time,"&gt;="&amp;($C28+CONVERT(Variables!$C$12,"sec","day")),POS_Time,"&lt;="&amp;($D28-CONVERT(Variables!$C$12+1,"sec","day")),POS_Q,"=1")))</f>
        <v/>
      </c>
      <c r="V28" s="26" t="str">
        <f>IF($B28="","",IF(2&gt;Variables!$C$11,0,COUNTIFS(POS_Time,"&gt;="&amp;($C28+CONVERT(Variables!$C$12,"sec","day")),POS_Time,"&lt;="&amp;($D28-CONVERT(Variables!$C$12+1,"sec","day")),POS_Q,"=2")))</f>
        <v/>
      </c>
      <c r="W28" s="26" t="str">
        <f>IF($B28="","",IF(3&gt;Variables!$C$11,0,COUNTIFS(POS_Time,"&gt;="&amp;($C28+CONVERT(Variables!$C$12,"sec","day")),POS_Time,"&lt;="&amp;($D28-CONVERT(Variables!$C$12+1,"sec","day")),POS_Q,"=3")))</f>
        <v/>
      </c>
      <c r="X28" s="26" t="str">
        <f>IF($B28="","",IF(4&gt;Variables!$C$11,0,COUNTIFS(POS_Time,"&gt;="&amp;($C28+CONVERT(Variables!$C$12,"sec","day")),POS_Time,"&lt;="&amp;($D28-CONVERT(Variables!$C$12+1,"sec","day")),POS_Q,"=4")))</f>
        <v/>
      </c>
      <c r="Y28" s="26" t="str">
        <f>IF($B28="","",IF(5&gt;Variables!$C$11,0,COUNTIFS(POS_Time,"&gt;="&amp;($C28+CONVERT(Variables!$C$12,"sec","day")),POS_Time,"&lt;="&amp;($D28-CONVERT(Variables!$C$12+1,"sec","day")),POS_Q,"=5")))</f>
        <v/>
      </c>
      <c r="Z28" s="26" t="str">
        <f>IF($B28="","",IF(6&gt;Variables!$C$11,0,COUNTIFS(POS_Time,"&gt;="&amp;($C28+CONVERT(Variables!$C$12,"sec","day")),POS_Time,"&lt;="&amp;($D28-CONVERT(Variables!$C$12+1,"sec","day")),POS_Q,"=6")))</f>
        <v/>
      </c>
    </row>
    <row r="29" spans="1:26" x14ac:dyDescent="0.25">
      <c r="A29" s="2">
        <v>28</v>
      </c>
      <c r="B29" s="27" t="str">
        <f>IF((ROW()-1)&lt;=RoverStations,'Rover CSV Data'!B29,"")</f>
        <v/>
      </c>
      <c r="C29" s="28" t="str">
        <f>IF($B29="","",DATEVALUE(LEFT('Rover CSV Data'!F29,FIND(" ",'Rover CSV Data'!F29)-1))+TIMEVALUE(MID('Rover CSV Data'!F29,LEN('Rover CSV Data'!F29)-FIND(" ",'Rover CSV Data'!F29),(FIND(" UTC",'Rover CSV Data'!F29))-(LEN('Rover CSV Data'!F29)-FIND(" ",'Rover CSV Data'!F29)))))</f>
        <v/>
      </c>
      <c r="D29" s="28" t="str">
        <f>IF($B29="","",DATEVALUE(LEFT('Rover CSV Data'!G29,FIND(" ",'Rover CSV Data'!G29)-1))+TIMEVALUE(MID('Rover CSV Data'!G29,LEN('Rover CSV Data'!G29)-FIND(" ",'Rover CSV Data'!G29),(FIND(" UTC",'Rover CSV Data'!G29))-(LEN('Rover CSV Data'!G29)-FIND(" ",'Rover CSV Data'!G29)))))</f>
        <v/>
      </c>
      <c r="E29" s="29" t="str">
        <f t="shared" si="1"/>
        <v/>
      </c>
      <c r="F29" s="26" t="str">
        <f>IF($B29="","",'Rover CSV Data'!J29)</f>
        <v/>
      </c>
      <c r="G29" s="26" t="str">
        <f>IF($B29="","",AVERAGEIFS(POS_Lat,POS_Time,"&gt;="&amp;($C29+CONVERT(Variables!$C$12,"sec","day")),POS_Time,"&lt;="&amp;($D29-CONVERT(Variables!$C$12+1,"sec","day")),POS_Q,"&lt;="&amp;Variables!$C$11))</f>
        <v/>
      </c>
      <c r="H29" s="26" t="str">
        <f>IF($B29="","",AVERAGEIFS(POS_Long,POS_Time,"&gt;="&amp;($C29+CONVERT(Variables!$C$12,"sec","day")),POS_Time,"&lt;="&amp;($D29-CONVERT(Variables!$C$12+1,"sec","day")),POS_Q,"&lt;="&amp;Variables!$C$11))</f>
        <v/>
      </c>
      <c r="I29" s="30" t="str">
        <f>IF($B29="","",AVERAGEIFS(POS_elev,POS_Time,"&gt;="&amp;($C29+CONVERT(Variables!$C$12,"sec","day")),POS_Time,"&lt;="&amp;($D29-CONVERT(Variables!$C$12+1,"sec","day")),POS_Q,"&lt;="&amp;Variables!$C$11)-S29)</f>
        <v/>
      </c>
      <c r="J29" s="26" t="str">
        <f>IF($B29="","",'Rover CSV Data'!D29)</f>
        <v/>
      </c>
      <c r="K29" s="26" t="str">
        <f>IF($B29="","",'Rover CSV Data'!C29)</f>
        <v/>
      </c>
      <c r="L29" s="26" t="str">
        <f>IF($B29="","",'Rover CSV Data'!E29)</f>
        <v/>
      </c>
      <c r="M29" s="30" t="str">
        <f>IF($B29="","",AVERAGEIFS(sdn,POS_Time,"&gt;="&amp;($C29+CONVERT(Variables!$C$12,"sec","day")),POS_Time,"&lt;="&amp;($D29-CONVERT(Variables!$C$12+1,"sec","day")),POS_Q,"&lt;="&amp;Variables!$C$11))</f>
        <v/>
      </c>
      <c r="N29" s="31" t="str">
        <f>IF($B29="","",AVERAGEIFS(sde,POS_Time,"&gt;="&amp;($C29+CONVERT(Variables!$C$12,"sec","day")),POS_Time,"&lt;="&amp;($D29-CONVERT(Variables!$C$12+1,"sec","day")),POS_Q,"&lt;="&amp;Variables!$C$11))</f>
        <v/>
      </c>
      <c r="O29" s="31" t="str">
        <f>IF($B29="","",AVERAGEIFS(sdu,POS_Time,"&gt;="&amp;($C29+CONVERT(Variables!$C$12,"sec","day")),POS_Time,"&lt;="&amp;($D29-CONVERT(Variables!$C$12+1,"sec","day")),POS_Q,"&lt;="&amp;Variables!$C$11))</f>
        <v/>
      </c>
      <c r="P29" s="32" t="str">
        <f t="array" ref="P29">IF($B29="","",STDEV(IF(POS_Time&gt;=($C29+CONVERT(Variables!$C$12,"sec","day")),IF(POS_Time&lt;=($D29-CONVERT(Variables!$C$12+1,"sec","day")),IF(POS_Q&lt;=Variables!$C$11,POS_Lat)))))</f>
        <v/>
      </c>
      <c r="Q29" s="32" t="str">
        <f t="array" ref="Q29">IF($B29="","",STDEV(IF(POS_Time&gt;=($C29+CONVERT(Variables!$C$12,"sec","day")),IF(POS_Time&lt;=($D29-CONVERT(Variables!$C$12+1,"sec","day")),IF(POS_Q&lt;=Variables!$C$11,POS_Long)))))</f>
        <v/>
      </c>
      <c r="R29" s="32" t="str">
        <f t="array" ref="R29">IF($B29="","",STDEV(IF(POS_Time&gt;=($C29+CONVERT(Variables!$C$12,"sec","day")),IF(POS_Time&lt;=($D29-CONVERT(Variables!$C$12+1,"sec","day")),IF(POS_Q&lt;=Variables!$C$11,POS_elev)))))</f>
        <v/>
      </c>
      <c r="S29" s="30" t="str">
        <f>IF($B29="","",'Rover CSV Data'!K29)</f>
        <v/>
      </c>
      <c r="T29" s="26" t="str">
        <f>IF($B29="","",COUNTIFS(POS_Time,"&gt;="&amp;($C29+CONVERT(Variables!$C$12,"sec","day")),POS_Time,"&lt;="&amp;($D29-CONVERT(Variables!$C$12+1,"sec","day")),POS_Q,"&lt;="&amp;Variables!$C$11))</f>
        <v/>
      </c>
      <c r="U29" s="26" t="str">
        <f>IF($B29="","",IF(1&gt;Variables!$C$11,0,COUNTIFS(POS_Time,"&gt;="&amp;($C29+CONVERT(Variables!$C$12,"sec","day")),POS_Time,"&lt;="&amp;($D29-CONVERT(Variables!$C$12+1,"sec","day")),POS_Q,"=1")))</f>
        <v/>
      </c>
      <c r="V29" s="26" t="str">
        <f>IF($B29="","",IF(2&gt;Variables!$C$11,0,COUNTIFS(POS_Time,"&gt;="&amp;($C29+CONVERT(Variables!$C$12,"sec","day")),POS_Time,"&lt;="&amp;($D29-CONVERT(Variables!$C$12+1,"sec","day")),POS_Q,"=2")))</f>
        <v/>
      </c>
      <c r="W29" s="26" t="str">
        <f>IF($B29="","",IF(3&gt;Variables!$C$11,0,COUNTIFS(POS_Time,"&gt;="&amp;($C29+CONVERT(Variables!$C$12,"sec","day")),POS_Time,"&lt;="&amp;($D29-CONVERT(Variables!$C$12+1,"sec","day")),POS_Q,"=3")))</f>
        <v/>
      </c>
      <c r="X29" s="26" t="str">
        <f>IF($B29="","",IF(4&gt;Variables!$C$11,0,COUNTIFS(POS_Time,"&gt;="&amp;($C29+CONVERT(Variables!$C$12,"sec","day")),POS_Time,"&lt;="&amp;($D29-CONVERT(Variables!$C$12+1,"sec","day")),POS_Q,"=4")))</f>
        <v/>
      </c>
      <c r="Y29" s="26" t="str">
        <f>IF($B29="","",IF(5&gt;Variables!$C$11,0,COUNTIFS(POS_Time,"&gt;="&amp;($C29+CONVERT(Variables!$C$12,"sec","day")),POS_Time,"&lt;="&amp;($D29-CONVERT(Variables!$C$12+1,"sec","day")),POS_Q,"=5")))</f>
        <v/>
      </c>
      <c r="Z29" s="26" t="str">
        <f>IF($B29="","",IF(6&gt;Variables!$C$11,0,COUNTIFS(POS_Time,"&gt;="&amp;($C29+CONVERT(Variables!$C$12,"sec","day")),POS_Time,"&lt;="&amp;($D29-CONVERT(Variables!$C$12+1,"sec","day")),POS_Q,"=6")))</f>
        <v/>
      </c>
    </row>
    <row r="30" spans="1:26" x14ac:dyDescent="0.25">
      <c r="A30" s="2">
        <v>29</v>
      </c>
      <c r="B30" s="27" t="str">
        <f>IF((ROW()-1)&lt;=RoverStations,'Rover CSV Data'!B30,"")</f>
        <v/>
      </c>
      <c r="C30" s="28" t="str">
        <f>IF($B30="","",DATEVALUE(LEFT('Rover CSV Data'!F30,FIND(" ",'Rover CSV Data'!F30)-1))+TIMEVALUE(MID('Rover CSV Data'!F30,LEN('Rover CSV Data'!F30)-FIND(" ",'Rover CSV Data'!F30),(FIND(" UTC",'Rover CSV Data'!F30))-(LEN('Rover CSV Data'!F30)-FIND(" ",'Rover CSV Data'!F30)))))</f>
        <v/>
      </c>
      <c r="D30" s="28" t="str">
        <f>IF($B30="","",DATEVALUE(LEFT('Rover CSV Data'!G30,FIND(" ",'Rover CSV Data'!G30)-1))+TIMEVALUE(MID('Rover CSV Data'!G30,LEN('Rover CSV Data'!G30)-FIND(" ",'Rover CSV Data'!G30),(FIND(" UTC",'Rover CSV Data'!G30))-(LEN('Rover CSV Data'!G30)-FIND(" ",'Rover CSV Data'!G30)))))</f>
        <v/>
      </c>
      <c r="E30" s="29" t="str">
        <f t="shared" si="1"/>
        <v/>
      </c>
      <c r="F30" s="26" t="str">
        <f>IF($B30="","",'Rover CSV Data'!J30)</f>
        <v/>
      </c>
      <c r="G30" s="26" t="str">
        <f>IF($B30="","",AVERAGEIFS(POS_Lat,POS_Time,"&gt;="&amp;($C30+CONVERT(Variables!$C$12,"sec","day")),POS_Time,"&lt;="&amp;($D30-CONVERT(Variables!$C$12+1,"sec","day")),POS_Q,"&lt;="&amp;Variables!$C$11))</f>
        <v/>
      </c>
      <c r="H30" s="26" t="str">
        <f>IF($B30="","",AVERAGEIFS(POS_Long,POS_Time,"&gt;="&amp;($C30+CONVERT(Variables!$C$12,"sec","day")),POS_Time,"&lt;="&amp;($D30-CONVERT(Variables!$C$12+1,"sec","day")),POS_Q,"&lt;="&amp;Variables!$C$11))</f>
        <v/>
      </c>
      <c r="I30" s="30" t="str">
        <f>IF($B30="","",AVERAGEIFS(POS_elev,POS_Time,"&gt;="&amp;($C30+CONVERT(Variables!$C$12,"sec","day")),POS_Time,"&lt;="&amp;($D30-CONVERT(Variables!$C$12+1,"sec","day")),POS_Q,"&lt;="&amp;Variables!$C$11)-S30)</f>
        <v/>
      </c>
      <c r="J30" s="26" t="str">
        <f>IF($B30="","",'Rover CSV Data'!D30)</f>
        <v/>
      </c>
      <c r="K30" s="26" t="str">
        <f>IF($B30="","",'Rover CSV Data'!C30)</f>
        <v/>
      </c>
      <c r="L30" s="26" t="str">
        <f>IF($B30="","",'Rover CSV Data'!E30)</f>
        <v/>
      </c>
      <c r="M30" s="30" t="str">
        <f>IF($B30="","",AVERAGEIFS(sdn,POS_Time,"&gt;="&amp;($C30+CONVERT(Variables!$C$12,"sec","day")),POS_Time,"&lt;="&amp;($D30-CONVERT(Variables!$C$12+1,"sec","day")),POS_Q,"&lt;="&amp;Variables!$C$11))</f>
        <v/>
      </c>
      <c r="N30" s="31" t="str">
        <f>IF($B30="","",AVERAGEIFS(sde,POS_Time,"&gt;="&amp;($C30+CONVERT(Variables!$C$12,"sec","day")),POS_Time,"&lt;="&amp;($D30-CONVERT(Variables!$C$12+1,"sec","day")),POS_Q,"&lt;="&amp;Variables!$C$11))</f>
        <v/>
      </c>
      <c r="O30" s="31" t="str">
        <f>IF($B30="","",AVERAGEIFS(sdu,POS_Time,"&gt;="&amp;($C30+CONVERT(Variables!$C$12,"sec","day")),POS_Time,"&lt;="&amp;($D30-CONVERT(Variables!$C$12+1,"sec","day")),POS_Q,"&lt;="&amp;Variables!$C$11))</f>
        <v/>
      </c>
      <c r="P30" s="32" t="str">
        <f t="array" ref="P30">IF($B30="","",STDEV(IF(POS_Time&gt;=($C30+CONVERT(Variables!$C$12,"sec","day")),IF(POS_Time&lt;=($D30-CONVERT(Variables!$C$12+1,"sec","day")),IF(POS_Q&lt;=Variables!$C$11,POS_Lat)))))</f>
        <v/>
      </c>
      <c r="Q30" s="32" t="str">
        <f t="array" ref="Q30">IF($B30="","",STDEV(IF(POS_Time&gt;=($C30+CONVERT(Variables!$C$12,"sec","day")),IF(POS_Time&lt;=($D30-CONVERT(Variables!$C$12+1,"sec","day")),IF(POS_Q&lt;=Variables!$C$11,POS_Long)))))</f>
        <v/>
      </c>
      <c r="R30" s="32" t="str">
        <f t="array" ref="R30">IF($B30="","",STDEV(IF(POS_Time&gt;=($C30+CONVERT(Variables!$C$12,"sec","day")),IF(POS_Time&lt;=($D30-CONVERT(Variables!$C$12+1,"sec","day")),IF(POS_Q&lt;=Variables!$C$11,POS_elev)))))</f>
        <v/>
      </c>
      <c r="S30" s="30" t="str">
        <f>IF($B30="","",'Rover CSV Data'!K30)</f>
        <v/>
      </c>
      <c r="T30" s="26" t="str">
        <f>IF($B30="","",COUNTIFS(POS_Time,"&gt;="&amp;($C30+CONVERT(Variables!$C$12,"sec","day")),POS_Time,"&lt;="&amp;($D30-CONVERT(Variables!$C$12+1,"sec","day")),POS_Q,"&lt;="&amp;Variables!$C$11))</f>
        <v/>
      </c>
      <c r="U30" s="26" t="str">
        <f>IF($B30="","",IF(1&gt;Variables!$C$11,0,COUNTIFS(POS_Time,"&gt;="&amp;($C30+CONVERT(Variables!$C$12,"sec","day")),POS_Time,"&lt;="&amp;($D30-CONVERT(Variables!$C$12+1,"sec","day")),POS_Q,"=1")))</f>
        <v/>
      </c>
      <c r="V30" s="26" t="str">
        <f>IF($B30="","",IF(2&gt;Variables!$C$11,0,COUNTIFS(POS_Time,"&gt;="&amp;($C30+CONVERT(Variables!$C$12,"sec","day")),POS_Time,"&lt;="&amp;($D30-CONVERT(Variables!$C$12+1,"sec","day")),POS_Q,"=2")))</f>
        <v/>
      </c>
      <c r="W30" s="26" t="str">
        <f>IF($B30="","",IF(3&gt;Variables!$C$11,0,COUNTIFS(POS_Time,"&gt;="&amp;($C30+CONVERT(Variables!$C$12,"sec","day")),POS_Time,"&lt;="&amp;($D30-CONVERT(Variables!$C$12+1,"sec","day")),POS_Q,"=3")))</f>
        <v/>
      </c>
      <c r="X30" s="26" t="str">
        <f>IF($B30="","",IF(4&gt;Variables!$C$11,0,COUNTIFS(POS_Time,"&gt;="&amp;($C30+CONVERT(Variables!$C$12,"sec","day")),POS_Time,"&lt;="&amp;($D30-CONVERT(Variables!$C$12+1,"sec","day")),POS_Q,"=4")))</f>
        <v/>
      </c>
      <c r="Y30" s="26" t="str">
        <f>IF($B30="","",IF(5&gt;Variables!$C$11,0,COUNTIFS(POS_Time,"&gt;="&amp;($C30+CONVERT(Variables!$C$12,"sec","day")),POS_Time,"&lt;="&amp;($D30-CONVERT(Variables!$C$12+1,"sec","day")),POS_Q,"=5")))</f>
        <v/>
      </c>
      <c r="Z30" s="26" t="str">
        <f>IF($B30="","",IF(6&gt;Variables!$C$11,0,COUNTIFS(POS_Time,"&gt;="&amp;($C30+CONVERT(Variables!$C$12,"sec","day")),POS_Time,"&lt;="&amp;($D30-CONVERT(Variables!$C$12+1,"sec","day")),POS_Q,"=6")))</f>
        <v/>
      </c>
    </row>
    <row r="31" spans="1:26" x14ac:dyDescent="0.25">
      <c r="A31" s="2">
        <v>30</v>
      </c>
      <c r="B31" s="27" t="str">
        <f>IF((ROW()-1)&lt;=RoverStations,'Rover CSV Data'!B31,"")</f>
        <v/>
      </c>
      <c r="C31" s="28" t="str">
        <f>IF($B31="","",DATEVALUE(LEFT('Rover CSV Data'!F31,FIND(" ",'Rover CSV Data'!F31)-1))+TIMEVALUE(MID('Rover CSV Data'!F31,LEN('Rover CSV Data'!F31)-FIND(" ",'Rover CSV Data'!F31),(FIND(" UTC",'Rover CSV Data'!F31))-(LEN('Rover CSV Data'!F31)-FIND(" ",'Rover CSV Data'!F31)))))</f>
        <v/>
      </c>
      <c r="D31" s="28" t="str">
        <f>IF($B31="","",DATEVALUE(LEFT('Rover CSV Data'!G31,FIND(" ",'Rover CSV Data'!G31)-1))+TIMEVALUE(MID('Rover CSV Data'!G31,LEN('Rover CSV Data'!G31)-FIND(" ",'Rover CSV Data'!G31),(FIND(" UTC",'Rover CSV Data'!G31))-(LEN('Rover CSV Data'!G31)-FIND(" ",'Rover CSV Data'!G31)))))</f>
        <v/>
      </c>
      <c r="E31" s="29" t="str">
        <f t="shared" si="1"/>
        <v/>
      </c>
      <c r="F31" s="26" t="str">
        <f>IF($B31="","",'Rover CSV Data'!J31)</f>
        <v/>
      </c>
      <c r="G31" s="26" t="str">
        <f>IF($B31="","",AVERAGEIFS(POS_Lat,POS_Time,"&gt;="&amp;($C31+CONVERT(Variables!$C$12,"sec","day")),POS_Time,"&lt;="&amp;($D31-CONVERT(Variables!$C$12+1,"sec","day")),POS_Q,"&lt;="&amp;Variables!$C$11))</f>
        <v/>
      </c>
      <c r="H31" s="26" t="str">
        <f>IF($B31="","",AVERAGEIFS(POS_Long,POS_Time,"&gt;="&amp;($C31+CONVERT(Variables!$C$12,"sec","day")),POS_Time,"&lt;="&amp;($D31-CONVERT(Variables!$C$12+1,"sec","day")),POS_Q,"&lt;="&amp;Variables!$C$11))</f>
        <v/>
      </c>
      <c r="I31" s="30" t="str">
        <f>IF($B31="","",AVERAGEIFS(POS_elev,POS_Time,"&gt;="&amp;($C31+CONVERT(Variables!$C$12,"sec","day")),POS_Time,"&lt;="&amp;($D31-CONVERT(Variables!$C$12+1,"sec","day")),POS_Q,"&lt;="&amp;Variables!$C$11)-S31)</f>
        <v/>
      </c>
      <c r="J31" s="26" t="str">
        <f>IF($B31="","",'Rover CSV Data'!D31)</f>
        <v/>
      </c>
      <c r="K31" s="26" t="str">
        <f>IF($B31="","",'Rover CSV Data'!C31)</f>
        <v/>
      </c>
      <c r="L31" s="26" t="str">
        <f>IF($B31="","",'Rover CSV Data'!E31)</f>
        <v/>
      </c>
      <c r="M31" s="30" t="str">
        <f>IF($B31="","",AVERAGEIFS(sdn,POS_Time,"&gt;="&amp;($C31+CONVERT(Variables!$C$12,"sec","day")),POS_Time,"&lt;="&amp;($D31-CONVERT(Variables!$C$12+1,"sec","day")),POS_Q,"&lt;="&amp;Variables!$C$11))</f>
        <v/>
      </c>
      <c r="N31" s="31" t="str">
        <f>IF($B31="","",AVERAGEIFS(sde,POS_Time,"&gt;="&amp;($C31+CONVERT(Variables!$C$12,"sec","day")),POS_Time,"&lt;="&amp;($D31-CONVERT(Variables!$C$12+1,"sec","day")),POS_Q,"&lt;="&amp;Variables!$C$11))</f>
        <v/>
      </c>
      <c r="O31" s="31" t="str">
        <f>IF($B31="","",AVERAGEIFS(sdu,POS_Time,"&gt;="&amp;($C31+CONVERT(Variables!$C$12,"sec","day")),POS_Time,"&lt;="&amp;($D31-CONVERT(Variables!$C$12+1,"sec","day")),POS_Q,"&lt;="&amp;Variables!$C$11))</f>
        <v/>
      </c>
      <c r="P31" s="32" t="str">
        <f t="array" ref="P31">IF($B31="","",STDEV(IF(POS_Time&gt;=($C31+CONVERT(Variables!$C$12,"sec","day")),IF(POS_Time&lt;=($D31-CONVERT(Variables!$C$12+1,"sec","day")),IF(POS_Q&lt;=Variables!$C$11,POS_Lat)))))</f>
        <v/>
      </c>
      <c r="Q31" s="32" t="str">
        <f t="array" ref="Q31">IF($B31="","",STDEV(IF(POS_Time&gt;=($C31+CONVERT(Variables!$C$12,"sec","day")),IF(POS_Time&lt;=($D31-CONVERT(Variables!$C$12+1,"sec","day")),IF(POS_Q&lt;=Variables!$C$11,POS_Long)))))</f>
        <v/>
      </c>
      <c r="R31" s="32" t="str">
        <f t="array" ref="R31">IF($B31="","",STDEV(IF(POS_Time&gt;=($C31+CONVERT(Variables!$C$12,"sec","day")),IF(POS_Time&lt;=($D31-CONVERT(Variables!$C$12+1,"sec","day")),IF(POS_Q&lt;=Variables!$C$11,POS_elev)))))</f>
        <v/>
      </c>
      <c r="S31" s="30" t="str">
        <f>IF($B31="","",'Rover CSV Data'!K31)</f>
        <v/>
      </c>
      <c r="T31" s="26" t="str">
        <f>IF($B31="","",COUNTIFS(POS_Time,"&gt;="&amp;($C31+CONVERT(Variables!$C$12,"sec","day")),POS_Time,"&lt;="&amp;($D31-CONVERT(Variables!$C$12+1,"sec","day")),POS_Q,"&lt;="&amp;Variables!$C$11))</f>
        <v/>
      </c>
      <c r="U31" s="26" t="str">
        <f>IF($B31="","",IF(1&gt;Variables!$C$11,0,COUNTIFS(POS_Time,"&gt;="&amp;($C31+CONVERT(Variables!$C$12,"sec","day")),POS_Time,"&lt;="&amp;($D31-CONVERT(Variables!$C$12+1,"sec","day")),POS_Q,"=1")))</f>
        <v/>
      </c>
      <c r="V31" s="26" t="str">
        <f>IF($B31="","",IF(2&gt;Variables!$C$11,0,COUNTIFS(POS_Time,"&gt;="&amp;($C31+CONVERT(Variables!$C$12,"sec","day")),POS_Time,"&lt;="&amp;($D31-CONVERT(Variables!$C$12+1,"sec","day")),POS_Q,"=2")))</f>
        <v/>
      </c>
      <c r="W31" s="26" t="str">
        <f>IF($B31="","",IF(3&gt;Variables!$C$11,0,COUNTIFS(POS_Time,"&gt;="&amp;($C31+CONVERT(Variables!$C$12,"sec","day")),POS_Time,"&lt;="&amp;($D31-CONVERT(Variables!$C$12+1,"sec","day")),POS_Q,"=3")))</f>
        <v/>
      </c>
      <c r="X31" s="26" t="str">
        <f>IF($B31="","",IF(4&gt;Variables!$C$11,0,COUNTIFS(POS_Time,"&gt;="&amp;($C31+CONVERT(Variables!$C$12,"sec","day")),POS_Time,"&lt;="&amp;($D31-CONVERT(Variables!$C$12+1,"sec","day")),POS_Q,"=4")))</f>
        <v/>
      </c>
      <c r="Y31" s="26" t="str">
        <f>IF($B31="","",IF(5&gt;Variables!$C$11,0,COUNTIFS(POS_Time,"&gt;="&amp;($C31+CONVERT(Variables!$C$12,"sec","day")),POS_Time,"&lt;="&amp;($D31-CONVERT(Variables!$C$12+1,"sec","day")),POS_Q,"=5")))</f>
        <v/>
      </c>
      <c r="Z31" s="26" t="str">
        <f>IF($B31="","",IF(6&gt;Variables!$C$11,0,COUNTIFS(POS_Time,"&gt;="&amp;($C31+CONVERT(Variables!$C$12,"sec","day")),POS_Time,"&lt;="&amp;($D31-CONVERT(Variables!$C$12+1,"sec","day")),POS_Q,"=6")))</f>
        <v/>
      </c>
    </row>
    <row r="32" spans="1:26" x14ac:dyDescent="0.25">
      <c r="A32" s="2">
        <v>31</v>
      </c>
      <c r="B32" s="27" t="str">
        <f>IF((ROW()-1)&lt;=RoverStations,'Rover CSV Data'!B32,"")</f>
        <v/>
      </c>
      <c r="C32" s="28" t="str">
        <f>IF($B32="","",DATEVALUE(LEFT('Rover CSV Data'!F32,FIND(" ",'Rover CSV Data'!F32)-1))+TIMEVALUE(MID('Rover CSV Data'!F32,LEN('Rover CSV Data'!F32)-FIND(" ",'Rover CSV Data'!F32),(FIND(" UTC",'Rover CSV Data'!F32))-(LEN('Rover CSV Data'!F32)-FIND(" ",'Rover CSV Data'!F32)))))</f>
        <v/>
      </c>
      <c r="D32" s="28" t="str">
        <f>IF($B32="","",DATEVALUE(LEFT('Rover CSV Data'!G32,FIND(" ",'Rover CSV Data'!G32)-1))+TIMEVALUE(MID('Rover CSV Data'!G32,LEN('Rover CSV Data'!G32)-FIND(" ",'Rover CSV Data'!G32),(FIND(" UTC",'Rover CSV Data'!G32))-(LEN('Rover CSV Data'!G32)-FIND(" ",'Rover CSV Data'!G32)))))</f>
        <v/>
      </c>
      <c r="E32" s="29" t="str">
        <f t="shared" si="1"/>
        <v/>
      </c>
      <c r="F32" s="26" t="str">
        <f>IF($B32="","",'Rover CSV Data'!J32)</f>
        <v/>
      </c>
      <c r="G32" s="26" t="str">
        <f>IF($B32="","",AVERAGEIFS(POS_Lat,POS_Time,"&gt;="&amp;($C32+CONVERT(Variables!$C$12,"sec","day")),POS_Time,"&lt;="&amp;($D32-CONVERT(Variables!$C$12+1,"sec","day")),POS_Q,"&lt;="&amp;Variables!$C$11))</f>
        <v/>
      </c>
      <c r="H32" s="26" t="str">
        <f>IF($B32="","",AVERAGEIFS(POS_Long,POS_Time,"&gt;="&amp;($C32+CONVERT(Variables!$C$12,"sec","day")),POS_Time,"&lt;="&amp;($D32-CONVERT(Variables!$C$12+1,"sec","day")),POS_Q,"&lt;="&amp;Variables!$C$11))</f>
        <v/>
      </c>
      <c r="I32" s="30" t="str">
        <f>IF($B32="","",AVERAGEIFS(POS_elev,POS_Time,"&gt;="&amp;($C32+CONVERT(Variables!$C$12,"sec","day")),POS_Time,"&lt;="&amp;($D32-CONVERT(Variables!$C$12+1,"sec","day")),POS_Q,"&lt;="&amp;Variables!$C$11)-S32)</f>
        <v/>
      </c>
      <c r="J32" s="26" t="str">
        <f>IF($B32="","",'Rover CSV Data'!D32)</f>
        <v/>
      </c>
      <c r="K32" s="26" t="str">
        <f>IF($B32="","",'Rover CSV Data'!C32)</f>
        <v/>
      </c>
      <c r="L32" s="26" t="str">
        <f>IF($B32="","",'Rover CSV Data'!E32)</f>
        <v/>
      </c>
      <c r="M32" s="30" t="str">
        <f>IF($B32="","",AVERAGEIFS(sdn,POS_Time,"&gt;="&amp;($C32+CONVERT(Variables!$C$12,"sec","day")),POS_Time,"&lt;="&amp;($D32-CONVERT(Variables!$C$12+1,"sec","day")),POS_Q,"&lt;="&amp;Variables!$C$11))</f>
        <v/>
      </c>
      <c r="N32" s="31" t="str">
        <f>IF($B32="","",AVERAGEIFS(sde,POS_Time,"&gt;="&amp;($C32+CONVERT(Variables!$C$12,"sec","day")),POS_Time,"&lt;="&amp;($D32-CONVERT(Variables!$C$12+1,"sec","day")),POS_Q,"&lt;="&amp;Variables!$C$11))</f>
        <v/>
      </c>
      <c r="O32" s="31" t="str">
        <f>IF($B32="","",AVERAGEIFS(sdu,POS_Time,"&gt;="&amp;($C32+CONVERT(Variables!$C$12,"sec","day")),POS_Time,"&lt;="&amp;($D32-CONVERT(Variables!$C$12+1,"sec","day")),POS_Q,"&lt;="&amp;Variables!$C$11))</f>
        <v/>
      </c>
      <c r="P32" s="32" t="str">
        <f t="array" ref="P32">IF($B32="","",STDEV(IF(POS_Time&gt;=($C32+CONVERT(Variables!$C$12,"sec","day")),IF(POS_Time&lt;=($D32-CONVERT(Variables!$C$12+1,"sec","day")),IF(POS_Q&lt;=Variables!$C$11,POS_Lat)))))</f>
        <v/>
      </c>
      <c r="Q32" s="32" t="str">
        <f t="array" ref="Q32">IF($B32="","",STDEV(IF(POS_Time&gt;=($C32+CONVERT(Variables!$C$12,"sec","day")),IF(POS_Time&lt;=($D32-CONVERT(Variables!$C$12+1,"sec","day")),IF(POS_Q&lt;=Variables!$C$11,POS_Long)))))</f>
        <v/>
      </c>
      <c r="R32" s="32" t="str">
        <f t="array" ref="R32">IF($B32="","",STDEV(IF(POS_Time&gt;=($C32+CONVERT(Variables!$C$12,"sec","day")),IF(POS_Time&lt;=($D32-CONVERT(Variables!$C$12+1,"sec","day")),IF(POS_Q&lt;=Variables!$C$11,POS_elev)))))</f>
        <v/>
      </c>
      <c r="S32" s="30" t="str">
        <f>IF($B32="","",'Rover CSV Data'!K32)</f>
        <v/>
      </c>
      <c r="T32" s="26" t="str">
        <f>IF($B32="","",COUNTIFS(POS_Time,"&gt;="&amp;($C32+CONVERT(Variables!$C$12,"sec","day")),POS_Time,"&lt;="&amp;($D32-CONVERT(Variables!$C$12+1,"sec","day")),POS_Q,"&lt;="&amp;Variables!$C$11))</f>
        <v/>
      </c>
      <c r="U32" s="26" t="str">
        <f>IF($B32="","",IF(1&gt;Variables!$C$11,0,COUNTIFS(POS_Time,"&gt;="&amp;($C32+CONVERT(Variables!$C$12,"sec","day")),POS_Time,"&lt;="&amp;($D32-CONVERT(Variables!$C$12+1,"sec","day")),POS_Q,"=1")))</f>
        <v/>
      </c>
      <c r="V32" s="26" t="str">
        <f>IF($B32="","",IF(2&gt;Variables!$C$11,0,COUNTIFS(POS_Time,"&gt;="&amp;($C32+CONVERT(Variables!$C$12,"sec","day")),POS_Time,"&lt;="&amp;($D32-CONVERT(Variables!$C$12+1,"sec","day")),POS_Q,"=2")))</f>
        <v/>
      </c>
      <c r="W32" s="26" t="str">
        <f>IF($B32="","",IF(3&gt;Variables!$C$11,0,COUNTIFS(POS_Time,"&gt;="&amp;($C32+CONVERT(Variables!$C$12,"sec","day")),POS_Time,"&lt;="&amp;($D32-CONVERT(Variables!$C$12+1,"sec","day")),POS_Q,"=3")))</f>
        <v/>
      </c>
      <c r="X32" s="26" t="str">
        <f>IF($B32="","",IF(4&gt;Variables!$C$11,0,COUNTIFS(POS_Time,"&gt;="&amp;($C32+CONVERT(Variables!$C$12,"sec","day")),POS_Time,"&lt;="&amp;($D32-CONVERT(Variables!$C$12+1,"sec","day")),POS_Q,"=4")))</f>
        <v/>
      </c>
      <c r="Y32" s="26" t="str">
        <f>IF($B32="","",IF(5&gt;Variables!$C$11,0,COUNTIFS(POS_Time,"&gt;="&amp;($C32+CONVERT(Variables!$C$12,"sec","day")),POS_Time,"&lt;="&amp;($D32-CONVERT(Variables!$C$12+1,"sec","day")),POS_Q,"=5")))</f>
        <v/>
      </c>
      <c r="Z32" s="26" t="str">
        <f>IF($B32="","",IF(6&gt;Variables!$C$11,0,COUNTIFS(POS_Time,"&gt;="&amp;($C32+CONVERT(Variables!$C$12,"sec","day")),POS_Time,"&lt;="&amp;($D32-CONVERT(Variables!$C$12+1,"sec","day")),POS_Q,"=6")))</f>
        <v/>
      </c>
    </row>
    <row r="33" spans="1:26" x14ac:dyDescent="0.25">
      <c r="A33" s="2">
        <v>32</v>
      </c>
      <c r="B33" s="27" t="str">
        <f>IF((ROW()-1)&lt;=RoverStations,'Rover CSV Data'!B33,"")</f>
        <v/>
      </c>
      <c r="C33" s="28" t="str">
        <f>IF($B33="","",DATEVALUE(LEFT('Rover CSV Data'!F33,FIND(" ",'Rover CSV Data'!F33)-1))+TIMEVALUE(MID('Rover CSV Data'!F33,LEN('Rover CSV Data'!F33)-FIND(" ",'Rover CSV Data'!F33),(FIND(" UTC",'Rover CSV Data'!F33))-(LEN('Rover CSV Data'!F33)-FIND(" ",'Rover CSV Data'!F33)))))</f>
        <v/>
      </c>
      <c r="D33" s="28" t="str">
        <f>IF($B33="","",DATEVALUE(LEFT('Rover CSV Data'!G33,FIND(" ",'Rover CSV Data'!G33)-1))+TIMEVALUE(MID('Rover CSV Data'!G33,LEN('Rover CSV Data'!G33)-FIND(" ",'Rover CSV Data'!G33),(FIND(" UTC",'Rover CSV Data'!G33))-(LEN('Rover CSV Data'!G33)-FIND(" ",'Rover CSV Data'!G33)))))</f>
        <v/>
      </c>
      <c r="E33" s="29" t="str">
        <f t="shared" si="1"/>
        <v/>
      </c>
      <c r="F33" s="26" t="str">
        <f>IF($B33="","",'Rover CSV Data'!J33)</f>
        <v/>
      </c>
      <c r="G33" s="26" t="str">
        <f>IF($B33="","",AVERAGEIFS(POS_Lat,POS_Time,"&gt;="&amp;($C33+CONVERT(Variables!$C$12,"sec","day")),POS_Time,"&lt;="&amp;($D33-CONVERT(Variables!$C$12+1,"sec","day")),POS_Q,"&lt;="&amp;Variables!$C$11))</f>
        <v/>
      </c>
      <c r="H33" s="26" t="str">
        <f>IF($B33="","",AVERAGEIFS(POS_Long,POS_Time,"&gt;="&amp;($C33+CONVERT(Variables!$C$12,"sec","day")),POS_Time,"&lt;="&amp;($D33-CONVERT(Variables!$C$12+1,"sec","day")),POS_Q,"&lt;="&amp;Variables!$C$11))</f>
        <v/>
      </c>
      <c r="I33" s="30" t="str">
        <f>IF($B33="","",AVERAGEIFS(POS_elev,POS_Time,"&gt;="&amp;($C33+CONVERT(Variables!$C$12,"sec","day")),POS_Time,"&lt;="&amp;($D33-CONVERT(Variables!$C$12+1,"sec","day")),POS_Q,"&lt;="&amp;Variables!$C$11)-S33)</f>
        <v/>
      </c>
      <c r="J33" s="26" t="str">
        <f>IF($B33="","",'Rover CSV Data'!D33)</f>
        <v/>
      </c>
      <c r="K33" s="26" t="str">
        <f>IF($B33="","",'Rover CSV Data'!C33)</f>
        <v/>
      </c>
      <c r="L33" s="26" t="str">
        <f>IF($B33="","",'Rover CSV Data'!E33)</f>
        <v/>
      </c>
      <c r="M33" s="30" t="str">
        <f>IF($B33="","",AVERAGEIFS(sdn,POS_Time,"&gt;="&amp;($C33+CONVERT(Variables!$C$12,"sec","day")),POS_Time,"&lt;="&amp;($D33-CONVERT(Variables!$C$12+1,"sec","day")),POS_Q,"&lt;="&amp;Variables!$C$11))</f>
        <v/>
      </c>
      <c r="N33" s="31" t="str">
        <f>IF($B33="","",AVERAGEIFS(sde,POS_Time,"&gt;="&amp;($C33+CONVERT(Variables!$C$12,"sec","day")),POS_Time,"&lt;="&amp;($D33-CONVERT(Variables!$C$12+1,"sec","day")),POS_Q,"&lt;="&amp;Variables!$C$11))</f>
        <v/>
      </c>
      <c r="O33" s="31" t="str">
        <f>IF($B33="","",AVERAGEIFS(sdu,POS_Time,"&gt;="&amp;($C33+CONVERT(Variables!$C$12,"sec","day")),POS_Time,"&lt;="&amp;($D33-CONVERT(Variables!$C$12+1,"sec","day")),POS_Q,"&lt;="&amp;Variables!$C$11))</f>
        <v/>
      </c>
      <c r="P33" s="32" t="str">
        <f t="array" ref="P33">IF($B33="","",STDEV(IF(POS_Time&gt;=($C33+CONVERT(Variables!$C$12,"sec","day")),IF(POS_Time&lt;=($D33-CONVERT(Variables!$C$12+1,"sec","day")),IF(POS_Q&lt;=Variables!$C$11,POS_Lat)))))</f>
        <v/>
      </c>
      <c r="Q33" s="32" t="str">
        <f t="array" ref="Q33">IF($B33="","",STDEV(IF(POS_Time&gt;=($C33+CONVERT(Variables!$C$12,"sec","day")),IF(POS_Time&lt;=($D33-CONVERT(Variables!$C$12+1,"sec","day")),IF(POS_Q&lt;=Variables!$C$11,POS_Long)))))</f>
        <v/>
      </c>
      <c r="R33" s="32" t="str">
        <f t="array" ref="R33">IF($B33="","",STDEV(IF(POS_Time&gt;=($C33+CONVERT(Variables!$C$12,"sec","day")),IF(POS_Time&lt;=($D33-CONVERT(Variables!$C$12+1,"sec","day")),IF(POS_Q&lt;=Variables!$C$11,POS_elev)))))</f>
        <v/>
      </c>
      <c r="S33" s="30" t="str">
        <f>IF($B33="","",'Rover CSV Data'!K33)</f>
        <v/>
      </c>
      <c r="T33" s="26" t="str">
        <f>IF($B33="","",COUNTIFS(POS_Time,"&gt;="&amp;($C33+CONVERT(Variables!$C$12,"sec","day")),POS_Time,"&lt;="&amp;($D33-CONVERT(Variables!$C$12+1,"sec","day")),POS_Q,"&lt;="&amp;Variables!$C$11))</f>
        <v/>
      </c>
      <c r="U33" s="26" t="str">
        <f>IF($B33="","",IF(1&gt;Variables!$C$11,0,COUNTIFS(POS_Time,"&gt;="&amp;($C33+CONVERT(Variables!$C$12,"sec","day")),POS_Time,"&lt;="&amp;($D33-CONVERT(Variables!$C$12+1,"sec","day")),POS_Q,"=1")))</f>
        <v/>
      </c>
      <c r="V33" s="26" t="str">
        <f>IF($B33="","",IF(2&gt;Variables!$C$11,0,COUNTIFS(POS_Time,"&gt;="&amp;($C33+CONVERT(Variables!$C$12,"sec","day")),POS_Time,"&lt;="&amp;($D33-CONVERT(Variables!$C$12+1,"sec","day")),POS_Q,"=2")))</f>
        <v/>
      </c>
      <c r="W33" s="26" t="str">
        <f>IF($B33="","",IF(3&gt;Variables!$C$11,0,COUNTIFS(POS_Time,"&gt;="&amp;($C33+CONVERT(Variables!$C$12,"sec","day")),POS_Time,"&lt;="&amp;($D33-CONVERT(Variables!$C$12+1,"sec","day")),POS_Q,"=3")))</f>
        <v/>
      </c>
      <c r="X33" s="26" t="str">
        <f>IF($B33="","",IF(4&gt;Variables!$C$11,0,COUNTIFS(POS_Time,"&gt;="&amp;($C33+CONVERT(Variables!$C$12,"sec","day")),POS_Time,"&lt;="&amp;($D33-CONVERT(Variables!$C$12+1,"sec","day")),POS_Q,"=4")))</f>
        <v/>
      </c>
      <c r="Y33" s="26" t="str">
        <f>IF($B33="","",IF(5&gt;Variables!$C$11,0,COUNTIFS(POS_Time,"&gt;="&amp;($C33+CONVERT(Variables!$C$12,"sec","day")),POS_Time,"&lt;="&amp;($D33-CONVERT(Variables!$C$12+1,"sec","day")),POS_Q,"=5")))</f>
        <v/>
      </c>
      <c r="Z33" s="26" t="str">
        <f>IF($B33="","",IF(6&gt;Variables!$C$11,0,COUNTIFS(POS_Time,"&gt;="&amp;($C33+CONVERT(Variables!$C$12,"sec","day")),POS_Time,"&lt;="&amp;($D33-CONVERT(Variables!$C$12+1,"sec","day")),POS_Q,"=6")))</f>
        <v/>
      </c>
    </row>
    <row r="34" spans="1:26" x14ac:dyDescent="0.25">
      <c r="A34" s="2">
        <v>33</v>
      </c>
      <c r="B34" s="27" t="str">
        <f>IF((ROW()-1)&lt;=RoverStations,'Rover CSV Data'!B34,"")</f>
        <v/>
      </c>
      <c r="C34" s="28" t="str">
        <f>IF($B34="","",DATEVALUE(LEFT('Rover CSV Data'!F34,FIND(" ",'Rover CSV Data'!F34)-1))+TIMEVALUE(MID('Rover CSV Data'!F34,LEN('Rover CSV Data'!F34)-FIND(" ",'Rover CSV Data'!F34),(FIND(" UTC",'Rover CSV Data'!F34))-(LEN('Rover CSV Data'!F34)-FIND(" ",'Rover CSV Data'!F34)))))</f>
        <v/>
      </c>
      <c r="D34" s="28" t="str">
        <f>IF($B34="","",DATEVALUE(LEFT('Rover CSV Data'!G34,FIND(" ",'Rover CSV Data'!G34)-1))+TIMEVALUE(MID('Rover CSV Data'!G34,LEN('Rover CSV Data'!G34)-FIND(" ",'Rover CSV Data'!G34),(FIND(" UTC",'Rover CSV Data'!G34))-(LEN('Rover CSV Data'!G34)-FIND(" ",'Rover CSV Data'!G34)))))</f>
        <v/>
      </c>
      <c r="E34" s="29" t="str">
        <f t="shared" si="1"/>
        <v/>
      </c>
      <c r="F34" s="26" t="str">
        <f>IF($B34="","",'Rover CSV Data'!J34)</f>
        <v/>
      </c>
      <c r="G34" s="26" t="str">
        <f>IF($B34="","",AVERAGEIFS(POS_Lat,POS_Time,"&gt;="&amp;($C34+CONVERT(Variables!$C$12,"sec","day")),POS_Time,"&lt;="&amp;($D34-CONVERT(Variables!$C$12+1,"sec","day")),POS_Q,"&lt;="&amp;Variables!$C$11))</f>
        <v/>
      </c>
      <c r="H34" s="26" t="str">
        <f>IF($B34="","",AVERAGEIFS(POS_Long,POS_Time,"&gt;="&amp;($C34+CONVERT(Variables!$C$12,"sec","day")),POS_Time,"&lt;="&amp;($D34-CONVERT(Variables!$C$12+1,"sec","day")),POS_Q,"&lt;="&amp;Variables!$C$11))</f>
        <v/>
      </c>
      <c r="I34" s="30" t="str">
        <f>IF($B34="","",AVERAGEIFS(POS_elev,POS_Time,"&gt;="&amp;($C34+CONVERT(Variables!$C$12,"sec","day")),POS_Time,"&lt;="&amp;($D34-CONVERT(Variables!$C$12+1,"sec","day")),POS_Q,"&lt;="&amp;Variables!$C$11)-S34)</f>
        <v/>
      </c>
      <c r="J34" s="26" t="str">
        <f>IF($B34="","",'Rover CSV Data'!D34)</f>
        <v/>
      </c>
      <c r="K34" s="26" t="str">
        <f>IF($B34="","",'Rover CSV Data'!C34)</f>
        <v/>
      </c>
      <c r="L34" s="26" t="str">
        <f>IF($B34="","",'Rover CSV Data'!E34)</f>
        <v/>
      </c>
      <c r="M34" s="30" t="str">
        <f>IF($B34="","",AVERAGEIFS(sdn,POS_Time,"&gt;="&amp;($C34+CONVERT(Variables!$C$12,"sec","day")),POS_Time,"&lt;="&amp;($D34-CONVERT(Variables!$C$12+1,"sec","day")),POS_Q,"&lt;="&amp;Variables!$C$11))</f>
        <v/>
      </c>
      <c r="N34" s="31" t="str">
        <f>IF($B34="","",AVERAGEIFS(sde,POS_Time,"&gt;="&amp;($C34+CONVERT(Variables!$C$12,"sec","day")),POS_Time,"&lt;="&amp;($D34-CONVERT(Variables!$C$12+1,"sec","day")),POS_Q,"&lt;="&amp;Variables!$C$11))</f>
        <v/>
      </c>
      <c r="O34" s="31" t="str">
        <f>IF($B34="","",AVERAGEIFS(sdu,POS_Time,"&gt;="&amp;($C34+CONVERT(Variables!$C$12,"sec","day")),POS_Time,"&lt;="&amp;($D34-CONVERT(Variables!$C$12+1,"sec","day")),POS_Q,"&lt;="&amp;Variables!$C$11))</f>
        <v/>
      </c>
      <c r="P34" s="32" t="str">
        <f t="array" ref="P34">IF($B34="","",STDEV(IF(POS_Time&gt;=($C34+CONVERT(Variables!$C$12,"sec","day")),IF(POS_Time&lt;=($D34-CONVERT(Variables!$C$12+1,"sec","day")),IF(POS_Q&lt;=Variables!$C$11,POS_Lat)))))</f>
        <v/>
      </c>
      <c r="Q34" s="32" t="str">
        <f t="array" ref="Q34">IF($B34="","",STDEV(IF(POS_Time&gt;=($C34+CONVERT(Variables!$C$12,"sec","day")),IF(POS_Time&lt;=($D34-CONVERT(Variables!$C$12+1,"sec","day")),IF(POS_Q&lt;=Variables!$C$11,POS_Long)))))</f>
        <v/>
      </c>
      <c r="R34" s="32" t="str">
        <f t="array" ref="R34">IF($B34="","",STDEV(IF(POS_Time&gt;=($C34+CONVERT(Variables!$C$12,"sec","day")),IF(POS_Time&lt;=($D34-CONVERT(Variables!$C$12+1,"sec","day")),IF(POS_Q&lt;=Variables!$C$11,POS_elev)))))</f>
        <v/>
      </c>
      <c r="S34" s="30" t="str">
        <f>IF($B34="","",'Rover CSV Data'!K34)</f>
        <v/>
      </c>
      <c r="T34" s="26" t="str">
        <f>IF($B34="","",COUNTIFS(POS_Time,"&gt;="&amp;($C34+CONVERT(Variables!$C$12,"sec","day")),POS_Time,"&lt;="&amp;($D34-CONVERT(Variables!$C$12+1,"sec","day")),POS_Q,"&lt;="&amp;Variables!$C$11))</f>
        <v/>
      </c>
      <c r="U34" s="26" t="str">
        <f>IF($B34="","",IF(1&gt;Variables!$C$11,0,COUNTIFS(POS_Time,"&gt;="&amp;($C34+CONVERT(Variables!$C$12,"sec","day")),POS_Time,"&lt;="&amp;($D34-CONVERT(Variables!$C$12+1,"sec","day")),POS_Q,"=1")))</f>
        <v/>
      </c>
      <c r="V34" s="26" t="str">
        <f>IF($B34="","",IF(2&gt;Variables!$C$11,0,COUNTIFS(POS_Time,"&gt;="&amp;($C34+CONVERT(Variables!$C$12,"sec","day")),POS_Time,"&lt;="&amp;($D34-CONVERT(Variables!$C$12+1,"sec","day")),POS_Q,"=2")))</f>
        <v/>
      </c>
      <c r="W34" s="26" t="str">
        <f>IF($B34="","",IF(3&gt;Variables!$C$11,0,COUNTIFS(POS_Time,"&gt;="&amp;($C34+CONVERT(Variables!$C$12,"sec","day")),POS_Time,"&lt;="&amp;($D34-CONVERT(Variables!$C$12+1,"sec","day")),POS_Q,"=3")))</f>
        <v/>
      </c>
      <c r="X34" s="26" t="str">
        <f>IF($B34="","",IF(4&gt;Variables!$C$11,0,COUNTIFS(POS_Time,"&gt;="&amp;($C34+CONVERT(Variables!$C$12,"sec","day")),POS_Time,"&lt;="&amp;($D34-CONVERT(Variables!$C$12+1,"sec","day")),POS_Q,"=4")))</f>
        <v/>
      </c>
      <c r="Y34" s="26" t="str">
        <f>IF($B34="","",IF(5&gt;Variables!$C$11,0,COUNTIFS(POS_Time,"&gt;="&amp;($C34+CONVERT(Variables!$C$12,"sec","day")),POS_Time,"&lt;="&amp;($D34-CONVERT(Variables!$C$12+1,"sec","day")),POS_Q,"=5")))</f>
        <v/>
      </c>
      <c r="Z34" s="26" t="str">
        <f>IF($B34="","",IF(6&gt;Variables!$C$11,0,COUNTIFS(POS_Time,"&gt;="&amp;($C34+CONVERT(Variables!$C$12,"sec","day")),POS_Time,"&lt;="&amp;($D34-CONVERT(Variables!$C$12+1,"sec","day")),POS_Q,"=6")))</f>
        <v/>
      </c>
    </row>
    <row r="35" spans="1:26" x14ac:dyDescent="0.25">
      <c r="A35" s="2">
        <v>34</v>
      </c>
      <c r="B35" s="27" t="str">
        <f>IF((ROW()-1)&lt;=RoverStations,'Rover CSV Data'!B35,"")</f>
        <v/>
      </c>
      <c r="C35" s="28" t="str">
        <f>IF($B35="","",DATEVALUE(LEFT('Rover CSV Data'!F35,FIND(" ",'Rover CSV Data'!F35)-1))+TIMEVALUE(MID('Rover CSV Data'!F35,LEN('Rover CSV Data'!F35)-FIND(" ",'Rover CSV Data'!F35),(FIND(" UTC",'Rover CSV Data'!F35))-(LEN('Rover CSV Data'!F35)-FIND(" ",'Rover CSV Data'!F35)))))</f>
        <v/>
      </c>
      <c r="D35" s="28" t="str">
        <f>IF($B35="","",DATEVALUE(LEFT('Rover CSV Data'!G35,FIND(" ",'Rover CSV Data'!G35)-1))+TIMEVALUE(MID('Rover CSV Data'!G35,LEN('Rover CSV Data'!G35)-FIND(" ",'Rover CSV Data'!G35),(FIND(" UTC",'Rover CSV Data'!G35))-(LEN('Rover CSV Data'!G35)-FIND(" ",'Rover CSV Data'!G35)))))</f>
        <v/>
      </c>
      <c r="E35" s="29" t="str">
        <f t="shared" si="1"/>
        <v/>
      </c>
      <c r="F35" s="26" t="str">
        <f>IF($B35="","",'Rover CSV Data'!J35)</f>
        <v/>
      </c>
      <c r="G35" s="26" t="str">
        <f>IF($B35="","",AVERAGEIFS(POS_Lat,POS_Time,"&gt;="&amp;($C35+CONVERT(Variables!$C$12,"sec","day")),POS_Time,"&lt;="&amp;($D35-CONVERT(Variables!$C$12+1,"sec","day")),POS_Q,"&lt;="&amp;Variables!$C$11))</f>
        <v/>
      </c>
      <c r="H35" s="26" t="str">
        <f>IF($B35="","",AVERAGEIFS(POS_Long,POS_Time,"&gt;="&amp;($C35+CONVERT(Variables!$C$12,"sec","day")),POS_Time,"&lt;="&amp;($D35-CONVERT(Variables!$C$12+1,"sec","day")),POS_Q,"&lt;="&amp;Variables!$C$11))</f>
        <v/>
      </c>
      <c r="I35" s="30" t="str">
        <f>IF($B35="","",AVERAGEIFS(POS_elev,POS_Time,"&gt;="&amp;($C35+CONVERT(Variables!$C$12,"sec","day")),POS_Time,"&lt;="&amp;($D35-CONVERT(Variables!$C$12+1,"sec","day")),POS_Q,"&lt;="&amp;Variables!$C$11)-S35)</f>
        <v/>
      </c>
      <c r="J35" s="26" t="str">
        <f>IF($B35="","",'Rover CSV Data'!D35)</f>
        <v/>
      </c>
      <c r="K35" s="26" t="str">
        <f>IF($B35="","",'Rover CSV Data'!C35)</f>
        <v/>
      </c>
      <c r="L35" s="26" t="str">
        <f>IF($B35="","",'Rover CSV Data'!E35)</f>
        <v/>
      </c>
      <c r="M35" s="30" t="str">
        <f>IF($B35="","",AVERAGEIFS(sdn,POS_Time,"&gt;="&amp;($C35+CONVERT(Variables!$C$12,"sec","day")),POS_Time,"&lt;="&amp;($D35-CONVERT(Variables!$C$12+1,"sec","day")),POS_Q,"&lt;="&amp;Variables!$C$11))</f>
        <v/>
      </c>
      <c r="N35" s="31" t="str">
        <f>IF($B35="","",AVERAGEIFS(sde,POS_Time,"&gt;="&amp;($C35+CONVERT(Variables!$C$12,"sec","day")),POS_Time,"&lt;="&amp;($D35-CONVERT(Variables!$C$12+1,"sec","day")),POS_Q,"&lt;="&amp;Variables!$C$11))</f>
        <v/>
      </c>
      <c r="O35" s="31" t="str">
        <f>IF($B35="","",AVERAGEIFS(sdu,POS_Time,"&gt;="&amp;($C35+CONVERT(Variables!$C$12,"sec","day")),POS_Time,"&lt;="&amp;($D35-CONVERT(Variables!$C$12+1,"sec","day")),POS_Q,"&lt;="&amp;Variables!$C$11))</f>
        <v/>
      </c>
      <c r="P35" s="32" t="str">
        <f t="array" ref="P35">IF($B35="","",STDEV(IF(POS_Time&gt;=($C35+CONVERT(Variables!$C$12,"sec","day")),IF(POS_Time&lt;=($D35-CONVERT(Variables!$C$12+1,"sec","day")),IF(POS_Q&lt;=Variables!$C$11,POS_Lat)))))</f>
        <v/>
      </c>
      <c r="Q35" s="32" t="str">
        <f t="array" ref="Q35">IF($B35="","",STDEV(IF(POS_Time&gt;=($C35+CONVERT(Variables!$C$12,"sec","day")),IF(POS_Time&lt;=($D35-CONVERT(Variables!$C$12+1,"sec","day")),IF(POS_Q&lt;=Variables!$C$11,POS_Long)))))</f>
        <v/>
      </c>
      <c r="R35" s="32" t="str">
        <f t="array" ref="R35">IF($B35="","",STDEV(IF(POS_Time&gt;=($C35+CONVERT(Variables!$C$12,"sec","day")),IF(POS_Time&lt;=($D35-CONVERT(Variables!$C$12+1,"sec","day")),IF(POS_Q&lt;=Variables!$C$11,POS_elev)))))</f>
        <v/>
      </c>
      <c r="S35" s="30" t="str">
        <f>IF($B35="","",'Rover CSV Data'!K35)</f>
        <v/>
      </c>
      <c r="T35" s="26" t="str">
        <f>IF($B35="","",COUNTIFS(POS_Time,"&gt;="&amp;($C35+CONVERT(Variables!$C$12,"sec","day")),POS_Time,"&lt;="&amp;($D35-CONVERT(Variables!$C$12+1,"sec","day")),POS_Q,"&lt;="&amp;Variables!$C$11))</f>
        <v/>
      </c>
      <c r="U35" s="26" t="str">
        <f>IF($B35="","",IF(1&gt;Variables!$C$11,0,COUNTIFS(POS_Time,"&gt;="&amp;($C35+CONVERT(Variables!$C$12,"sec","day")),POS_Time,"&lt;="&amp;($D35-CONVERT(Variables!$C$12+1,"sec","day")),POS_Q,"=1")))</f>
        <v/>
      </c>
      <c r="V35" s="26" t="str">
        <f>IF($B35="","",IF(2&gt;Variables!$C$11,0,COUNTIFS(POS_Time,"&gt;="&amp;($C35+CONVERT(Variables!$C$12,"sec","day")),POS_Time,"&lt;="&amp;($D35-CONVERT(Variables!$C$12+1,"sec","day")),POS_Q,"=2")))</f>
        <v/>
      </c>
      <c r="W35" s="26" t="str">
        <f>IF($B35="","",IF(3&gt;Variables!$C$11,0,COUNTIFS(POS_Time,"&gt;="&amp;($C35+CONVERT(Variables!$C$12,"sec","day")),POS_Time,"&lt;="&amp;($D35-CONVERT(Variables!$C$12+1,"sec","day")),POS_Q,"=3")))</f>
        <v/>
      </c>
      <c r="X35" s="26" t="str">
        <f>IF($B35="","",IF(4&gt;Variables!$C$11,0,COUNTIFS(POS_Time,"&gt;="&amp;($C35+CONVERT(Variables!$C$12,"sec","day")),POS_Time,"&lt;="&amp;($D35-CONVERT(Variables!$C$12+1,"sec","day")),POS_Q,"=4")))</f>
        <v/>
      </c>
      <c r="Y35" s="26" t="str">
        <f>IF($B35="","",IF(5&gt;Variables!$C$11,0,COUNTIFS(POS_Time,"&gt;="&amp;($C35+CONVERT(Variables!$C$12,"sec","day")),POS_Time,"&lt;="&amp;($D35-CONVERT(Variables!$C$12+1,"sec","day")),POS_Q,"=5")))</f>
        <v/>
      </c>
      <c r="Z35" s="26" t="str">
        <f>IF($B35="","",IF(6&gt;Variables!$C$11,0,COUNTIFS(POS_Time,"&gt;="&amp;($C35+CONVERT(Variables!$C$12,"sec","day")),POS_Time,"&lt;="&amp;($D35-CONVERT(Variables!$C$12+1,"sec","day")),POS_Q,"=6")))</f>
        <v/>
      </c>
    </row>
    <row r="36" spans="1:26" x14ac:dyDescent="0.25">
      <c r="A36" s="2">
        <v>35</v>
      </c>
      <c r="B36" s="27" t="str">
        <f>IF((ROW()-1)&lt;=RoverStations,'Rover CSV Data'!B36,"")</f>
        <v/>
      </c>
      <c r="C36" s="28" t="str">
        <f>IF($B36="","",DATEVALUE(LEFT('Rover CSV Data'!F36,FIND(" ",'Rover CSV Data'!F36)-1))+TIMEVALUE(MID('Rover CSV Data'!F36,LEN('Rover CSV Data'!F36)-FIND(" ",'Rover CSV Data'!F36),(FIND(" UTC",'Rover CSV Data'!F36))-(LEN('Rover CSV Data'!F36)-FIND(" ",'Rover CSV Data'!F36)))))</f>
        <v/>
      </c>
      <c r="D36" s="28" t="str">
        <f>IF($B36="","",DATEVALUE(LEFT('Rover CSV Data'!G36,FIND(" ",'Rover CSV Data'!G36)-1))+TIMEVALUE(MID('Rover CSV Data'!G36,LEN('Rover CSV Data'!G36)-FIND(" ",'Rover CSV Data'!G36),(FIND(" UTC",'Rover CSV Data'!G36))-(LEN('Rover CSV Data'!G36)-FIND(" ",'Rover CSV Data'!G36)))))</f>
        <v/>
      </c>
      <c r="E36" s="29" t="str">
        <f t="shared" si="1"/>
        <v/>
      </c>
      <c r="F36" s="26" t="str">
        <f>IF($B36="","",'Rover CSV Data'!J36)</f>
        <v/>
      </c>
      <c r="G36" s="26" t="str">
        <f>IF($B36="","",AVERAGEIFS(POS_Lat,POS_Time,"&gt;="&amp;($C36+CONVERT(Variables!$C$12,"sec","day")),POS_Time,"&lt;="&amp;($D36-CONVERT(Variables!$C$12+1,"sec","day")),POS_Q,"&lt;="&amp;Variables!$C$11))</f>
        <v/>
      </c>
      <c r="H36" s="26" t="str">
        <f>IF($B36="","",AVERAGEIFS(POS_Long,POS_Time,"&gt;="&amp;($C36+CONVERT(Variables!$C$12,"sec","day")),POS_Time,"&lt;="&amp;($D36-CONVERT(Variables!$C$12+1,"sec","day")),POS_Q,"&lt;="&amp;Variables!$C$11))</f>
        <v/>
      </c>
      <c r="I36" s="30" t="str">
        <f>IF($B36="","",AVERAGEIFS(POS_elev,POS_Time,"&gt;="&amp;($C36+CONVERT(Variables!$C$12,"sec","day")),POS_Time,"&lt;="&amp;($D36-CONVERT(Variables!$C$12+1,"sec","day")),POS_Q,"&lt;="&amp;Variables!$C$11)-S36)</f>
        <v/>
      </c>
      <c r="J36" s="26" t="str">
        <f>IF($B36="","",'Rover CSV Data'!D36)</f>
        <v/>
      </c>
      <c r="K36" s="26" t="str">
        <f>IF($B36="","",'Rover CSV Data'!C36)</f>
        <v/>
      </c>
      <c r="L36" s="26" t="str">
        <f>IF($B36="","",'Rover CSV Data'!E36)</f>
        <v/>
      </c>
      <c r="M36" s="30" t="str">
        <f>IF($B36="","",AVERAGEIFS(sdn,POS_Time,"&gt;="&amp;($C36+CONVERT(Variables!$C$12,"sec","day")),POS_Time,"&lt;="&amp;($D36-CONVERT(Variables!$C$12+1,"sec","day")),POS_Q,"&lt;="&amp;Variables!$C$11))</f>
        <v/>
      </c>
      <c r="N36" s="31" t="str">
        <f>IF($B36="","",AVERAGEIFS(sde,POS_Time,"&gt;="&amp;($C36+CONVERT(Variables!$C$12,"sec","day")),POS_Time,"&lt;="&amp;($D36-CONVERT(Variables!$C$12+1,"sec","day")),POS_Q,"&lt;="&amp;Variables!$C$11))</f>
        <v/>
      </c>
      <c r="O36" s="31" t="str">
        <f>IF($B36="","",AVERAGEIFS(sdu,POS_Time,"&gt;="&amp;($C36+CONVERT(Variables!$C$12,"sec","day")),POS_Time,"&lt;="&amp;($D36-CONVERT(Variables!$C$12+1,"sec","day")),POS_Q,"&lt;="&amp;Variables!$C$11))</f>
        <v/>
      </c>
      <c r="P36" s="32" t="str">
        <f t="array" ref="P36">IF($B36="","",STDEV(IF(POS_Time&gt;=($C36+CONVERT(Variables!$C$12,"sec","day")),IF(POS_Time&lt;=($D36-CONVERT(Variables!$C$12+1,"sec","day")),IF(POS_Q&lt;=Variables!$C$11,POS_Lat)))))</f>
        <v/>
      </c>
      <c r="Q36" s="32" t="str">
        <f t="array" ref="Q36">IF($B36="","",STDEV(IF(POS_Time&gt;=($C36+CONVERT(Variables!$C$12,"sec","day")),IF(POS_Time&lt;=($D36-CONVERT(Variables!$C$12+1,"sec","day")),IF(POS_Q&lt;=Variables!$C$11,POS_Long)))))</f>
        <v/>
      </c>
      <c r="R36" s="32" t="str">
        <f t="array" ref="R36">IF($B36="","",STDEV(IF(POS_Time&gt;=($C36+CONVERT(Variables!$C$12,"sec","day")),IF(POS_Time&lt;=($D36-CONVERT(Variables!$C$12+1,"sec","day")),IF(POS_Q&lt;=Variables!$C$11,POS_elev)))))</f>
        <v/>
      </c>
      <c r="S36" s="30" t="str">
        <f>IF($B36="","",'Rover CSV Data'!K36)</f>
        <v/>
      </c>
      <c r="T36" s="26" t="str">
        <f>IF($B36="","",COUNTIFS(POS_Time,"&gt;="&amp;($C36+CONVERT(Variables!$C$12,"sec","day")),POS_Time,"&lt;="&amp;($D36-CONVERT(Variables!$C$12+1,"sec","day")),POS_Q,"&lt;="&amp;Variables!$C$11))</f>
        <v/>
      </c>
      <c r="U36" s="26" t="str">
        <f>IF($B36="","",IF(1&gt;Variables!$C$11,0,COUNTIFS(POS_Time,"&gt;="&amp;($C36+CONVERT(Variables!$C$12,"sec","day")),POS_Time,"&lt;="&amp;($D36-CONVERT(Variables!$C$12+1,"sec","day")),POS_Q,"=1")))</f>
        <v/>
      </c>
      <c r="V36" s="26" t="str">
        <f>IF($B36="","",IF(2&gt;Variables!$C$11,0,COUNTIFS(POS_Time,"&gt;="&amp;($C36+CONVERT(Variables!$C$12,"sec","day")),POS_Time,"&lt;="&amp;($D36-CONVERT(Variables!$C$12+1,"sec","day")),POS_Q,"=2")))</f>
        <v/>
      </c>
      <c r="W36" s="26" t="str">
        <f>IF($B36="","",IF(3&gt;Variables!$C$11,0,COUNTIFS(POS_Time,"&gt;="&amp;($C36+CONVERT(Variables!$C$12,"sec","day")),POS_Time,"&lt;="&amp;($D36-CONVERT(Variables!$C$12+1,"sec","day")),POS_Q,"=3")))</f>
        <v/>
      </c>
      <c r="X36" s="26" t="str">
        <f>IF($B36="","",IF(4&gt;Variables!$C$11,0,COUNTIFS(POS_Time,"&gt;="&amp;($C36+CONVERT(Variables!$C$12,"sec","day")),POS_Time,"&lt;="&amp;($D36-CONVERT(Variables!$C$12+1,"sec","day")),POS_Q,"=4")))</f>
        <v/>
      </c>
      <c r="Y36" s="26" t="str">
        <f>IF($B36="","",IF(5&gt;Variables!$C$11,0,COUNTIFS(POS_Time,"&gt;="&amp;($C36+CONVERT(Variables!$C$12,"sec","day")),POS_Time,"&lt;="&amp;($D36-CONVERT(Variables!$C$12+1,"sec","day")),POS_Q,"=5")))</f>
        <v/>
      </c>
      <c r="Z36" s="26" t="str">
        <f>IF($B36="","",IF(6&gt;Variables!$C$11,0,COUNTIFS(POS_Time,"&gt;="&amp;($C36+CONVERT(Variables!$C$12,"sec","day")),POS_Time,"&lt;="&amp;($D36-CONVERT(Variables!$C$12+1,"sec","day")),POS_Q,"=6")))</f>
        <v/>
      </c>
    </row>
    <row r="37" spans="1:26" x14ac:dyDescent="0.25">
      <c r="A37" s="2">
        <v>36</v>
      </c>
      <c r="B37" s="27" t="str">
        <f>IF((ROW()-1)&lt;=RoverStations,'Rover CSV Data'!B37,"")</f>
        <v/>
      </c>
      <c r="C37" s="28" t="str">
        <f>IF($B37="","",DATEVALUE(LEFT('Rover CSV Data'!F37,FIND(" ",'Rover CSV Data'!F37)-1))+TIMEVALUE(MID('Rover CSV Data'!F37,LEN('Rover CSV Data'!F37)-FIND(" ",'Rover CSV Data'!F37),(FIND(" UTC",'Rover CSV Data'!F37))-(LEN('Rover CSV Data'!F37)-FIND(" ",'Rover CSV Data'!F37)))))</f>
        <v/>
      </c>
      <c r="D37" s="28" t="str">
        <f>IF($B37="","",DATEVALUE(LEFT('Rover CSV Data'!G37,FIND(" ",'Rover CSV Data'!G37)-1))+TIMEVALUE(MID('Rover CSV Data'!G37,LEN('Rover CSV Data'!G37)-FIND(" ",'Rover CSV Data'!G37),(FIND(" UTC",'Rover CSV Data'!G37))-(LEN('Rover CSV Data'!G37)-FIND(" ",'Rover CSV Data'!G37)))))</f>
        <v/>
      </c>
      <c r="E37" s="29" t="str">
        <f t="shared" si="1"/>
        <v/>
      </c>
      <c r="F37" s="26" t="str">
        <f>IF($B37="","",'Rover CSV Data'!J37)</f>
        <v/>
      </c>
      <c r="G37" s="26" t="str">
        <f>IF($B37="","",AVERAGEIFS(POS_Lat,POS_Time,"&gt;="&amp;($C37+CONVERT(Variables!$C$12,"sec","day")),POS_Time,"&lt;="&amp;($D37-CONVERT(Variables!$C$12+1,"sec","day")),POS_Q,"&lt;="&amp;Variables!$C$11))</f>
        <v/>
      </c>
      <c r="H37" s="26" t="str">
        <f>IF($B37="","",AVERAGEIFS(POS_Long,POS_Time,"&gt;="&amp;($C37+CONVERT(Variables!$C$12,"sec","day")),POS_Time,"&lt;="&amp;($D37-CONVERT(Variables!$C$12+1,"sec","day")),POS_Q,"&lt;="&amp;Variables!$C$11))</f>
        <v/>
      </c>
      <c r="I37" s="30" t="str">
        <f>IF($B37="","",AVERAGEIFS(POS_elev,POS_Time,"&gt;="&amp;($C37+CONVERT(Variables!$C$12,"sec","day")),POS_Time,"&lt;="&amp;($D37-CONVERT(Variables!$C$12+1,"sec","day")),POS_Q,"&lt;="&amp;Variables!$C$11)-S37)</f>
        <v/>
      </c>
      <c r="J37" s="26" t="str">
        <f>IF($B37="","",'Rover CSV Data'!D37)</f>
        <v/>
      </c>
      <c r="K37" s="26" t="str">
        <f>IF($B37="","",'Rover CSV Data'!C37)</f>
        <v/>
      </c>
      <c r="L37" s="26" t="str">
        <f>IF($B37="","",'Rover CSV Data'!E37)</f>
        <v/>
      </c>
      <c r="M37" s="30" t="str">
        <f>IF($B37="","",AVERAGEIFS(sdn,POS_Time,"&gt;="&amp;($C37+CONVERT(Variables!$C$12,"sec","day")),POS_Time,"&lt;="&amp;($D37-CONVERT(Variables!$C$12+1,"sec","day")),POS_Q,"&lt;="&amp;Variables!$C$11))</f>
        <v/>
      </c>
      <c r="N37" s="31" t="str">
        <f>IF($B37="","",AVERAGEIFS(sde,POS_Time,"&gt;="&amp;($C37+CONVERT(Variables!$C$12,"sec","day")),POS_Time,"&lt;="&amp;($D37-CONVERT(Variables!$C$12+1,"sec","day")),POS_Q,"&lt;="&amp;Variables!$C$11))</f>
        <v/>
      </c>
      <c r="O37" s="31" t="str">
        <f>IF($B37="","",AVERAGEIFS(sdu,POS_Time,"&gt;="&amp;($C37+CONVERT(Variables!$C$12,"sec","day")),POS_Time,"&lt;="&amp;($D37-CONVERT(Variables!$C$12+1,"sec","day")),POS_Q,"&lt;="&amp;Variables!$C$11))</f>
        <v/>
      </c>
      <c r="P37" s="32" t="str">
        <f t="array" ref="P37">IF($B37="","",STDEV(IF(POS_Time&gt;=($C37+CONVERT(Variables!$C$12,"sec","day")),IF(POS_Time&lt;=($D37-CONVERT(Variables!$C$12+1,"sec","day")),IF(POS_Q&lt;=Variables!$C$11,POS_Lat)))))</f>
        <v/>
      </c>
      <c r="Q37" s="32" t="str">
        <f t="array" ref="Q37">IF($B37="","",STDEV(IF(POS_Time&gt;=($C37+CONVERT(Variables!$C$12,"sec","day")),IF(POS_Time&lt;=($D37-CONVERT(Variables!$C$12+1,"sec","day")),IF(POS_Q&lt;=Variables!$C$11,POS_Long)))))</f>
        <v/>
      </c>
      <c r="R37" s="32" t="str">
        <f t="array" ref="R37">IF($B37="","",STDEV(IF(POS_Time&gt;=($C37+CONVERT(Variables!$C$12,"sec","day")),IF(POS_Time&lt;=($D37-CONVERT(Variables!$C$12+1,"sec","day")),IF(POS_Q&lt;=Variables!$C$11,POS_elev)))))</f>
        <v/>
      </c>
      <c r="S37" s="30" t="str">
        <f>IF($B37="","",'Rover CSV Data'!K37)</f>
        <v/>
      </c>
      <c r="T37" s="26" t="str">
        <f>IF($B37="","",COUNTIFS(POS_Time,"&gt;="&amp;($C37+CONVERT(Variables!$C$12,"sec","day")),POS_Time,"&lt;="&amp;($D37-CONVERT(Variables!$C$12+1,"sec","day")),POS_Q,"&lt;="&amp;Variables!$C$11))</f>
        <v/>
      </c>
      <c r="U37" s="26" t="str">
        <f>IF($B37="","",IF(1&gt;Variables!$C$11,0,COUNTIFS(POS_Time,"&gt;="&amp;($C37+CONVERT(Variables!$C$12,"sec","day")),POS_Time,"&lt;="&amp;($D37-CONVERT(Variables!$C$12+1,"sec","day")),POS_Q,"=1")))</f>
        <v/>
      </c>
      <c r="V37" s="26" t="str">
        <f>IF($B37="","",IF(2&gt;Variables!$C$11,0,COUNTIFS(POS_Time,"&gt;="&amp;($C37+CONVERT(Variables!$C$12,"sec","day")),POS_Time,"&lt;="&amp;($D37-CONVERT(Variables!$C$12+1,"sec","day")),POS_Q,"=2")))</f>
        <v/>
      </c>
      <c r="W37" s="26" t="str">
        <f>IF($B37="","",IF(3&gt;Variables!$C$11,0,COUNTIFS(POS_Time,"&gt;="&amp;($C37+CONVERT(Variables!$C$12,"sec","day")),POS_Time,"&lt;="&amp;($D37-CONVERT(Variables!$C$12+1,"sec","day")),POS_Q,"=3")))</f>
        <v/>
      </c>
      <c r="X37" s="26" t="str">
        <f>IF($B37="","",IF(4&gt;Variables!$C$11,0,COUNTIFS(POS_Time,"&gt;="&amp;($C37+CONVERT(Variables!$C$12,"sec","day")),POS_Time,"&lt;="&amp;($D37-CONVERT(Variables!$C$12+1,"sec","day")),POS_Q,"=4")))</f>
        <v/>
      </c>
      <c r="Y37" s="26" t="str">
        <f>IF($B37="","",IF(5&gt;Variables!$C$11,0,COUNTIFS(POS_Time,"&gt;="&amp;($C37+CONVERT(Variables!$C$12,"sec","day")),POS_Time,"&lt;="&amp;($D37-CONVERT(Variables!$C$12+1,"sec","day")),POS_Q,"=5")))</f>
        <v/>
      </c>
      <c r="Z37" s="26" t="str">
        <f>IF($B37="","",IF(6&gt;Variables!$C$11,0,COUNTIFS(POS_Time,"&gt;="&amp;($C37+CONVERT(Variables!$C$12,"sec","day")),POS_Time,"&lt;="&amp;($D37-CONVERT(Variables!$C$12+1,"sec","day")),POS_Q,"=6")))</f>
        <v/>
      </c>
    </row>
    <row r="38" spans="1:26" x14ac:dyDescent="0.25">
      <c r="A38" s="2">
        <v>37</v>
      </c>
      <c r="B38" s="27" t="str">
        <f>IF((ROW()-1)&lt;=RoverStations,'Rover CSV Data'!B38,"")</f>
        <v/>
      </c>
      <c r="C38" s="28" t="str">
        <f>IF($B38="","",DATEVALUE(LEFT('Rover CSV Data'!F38,FIND(" ",'Rover CSV Data'!F38)-1))+TIMEVALUE(MID('Rover CSV Data'!F38,LEN('Rover CSV Data'!F38)-FIND(" ",'Rover CSV Data'!F38),(FIND(" UTC",'Rover CSV Data'!F38))-(LEN('Rover CSV Data'!F38)-FIND(" ",'Rover CSV Data'!F38)))))</f>
        <v/>
      </c>
      <c r="D38" s="28" t="str">
        <f>IF($B38="","",DATEVALUE(LEFT('Rover CSV Data'!G38,FIND(" ",'Rover CSV Data'!G38)-1))+TIMEVALUE(MID('Rover CSV Data'!G38,LEN('Rover CSV Data'!G38)-FIND(" ",'Rover CSV Data'!G38),(FIND(" UTC",'Rover CSV Data'!G38))-(LEN('Rover CSV Data'!G38)-FIND(" ",'Rover CSV Data'!G38)))))</f>
        <v/>
      </c>
      <c r="E38" s="29" t="str">
        <f t="shared" si="1"/>
        <v/>
      </c>
      <c r="F38" s="26" t="str">
        <f>IF($B38="","",'Rover CSV Data'!J38)</f>
        <v/>
      </c>
      <c r="G38" s="26" t="str">
        <f>IF($B38="","",AVERAGEIFS(POS_Lat,POS_Time,"&gt;="&amp;($C38+CONVERT(Variables!$C$12,"sec","day")),POS_Time,"&lt;="&amp;($D38-CONVERT(Variables!$C$12+1,"sec","day")),POS_Q,"&lt;="&amp;Variables!$C$11))</f>
        <v/>
      </c>
      <c r="H38" s="26" t="str">
        <f>IF($B38="","",AVERAGEIFS(POS_Long,POS_Time,"&gt;="&amp;($C38+CONVERT(Variables!$C$12,"sec","day")),POS_Time,"&lt;="&amp;($D38-CONVERT(Variables!$C$12+1,"sec","day")),POS_Q,"&lt;="&amp;Variables!$C$11))</f>
        <v/>
      </c>
      <c r="I38" s="30" t="str">
        <f>IF($B38="","",AVERAGEIFS(POS_elev,POS_Time,"&gt;="&amp;($C38+CONVERT(Variables!$C$12,"sec","day")),POS_Time,"&lt;="&amp;($D38-CONVERT(Variables!$C$12+1,"sec","day")),POS_Q,"&lt;="&amp;Variables!$C$11)-S38)</f>
        <v/>
      </c>
      <c r="J38" s="26" t="str">
        <f>IF($B38="","",'Rover CSV Data'!D38)</f>
        <v/>
      </c>
      <c r="K38" s="26" t="str">
        <f>IF($B38="","",'Rover CSV Data'!C38)</f>
        <v/>
      </c>
      <c r="L38" s="26" t="str">
        <f>IF($B38="","",'Rover CSV Data'!E38)</f>
        <v/>
      </c>
      <c r="M38" s="30" t="str">
        <f>IF($B38="","",AVERAGEIFS(sdn,POS_Time,"&gt;="&amp;($C38+CONVERT(Variables!$C$12,"sec","day")),POS_Time,"&lt;="&amp;($D38-CONVERT(Variables!$C$12+1,"sec","day")),POS_Q,"&lt;="&amp;Variables!$C$11))</f>
        <v/>
      </c>
      <c r="N38" s="31" t="str">
        <f>IF($B38="","",AVERAGEIFS(sde,POS_Time,"&gt;="&amp;($C38+CONVERT(Variables!$C$12,"sec","day")),POS_Time,"&lt;="&amp;($D38-CONVERT(Variables!$C$12+1,"sec","day")),POS_Q,"&lt;="&amp;Variables!$C$11))</f>
        <v/>
      </c>
      <c r="O38" s="31" t="str">
        <f>IF($B38="","",AVERAGEIFS(sdu,POS_Time,"&gt;="&amp;($C38+CONVERT(Variables!$C$12,"sec","day")),POS_Time,"&lt;="&amp;($D38-CONVERT(Variables!$C$12+1,"sec","day")),POS_Q,"&lt;="&amp;Variables!$C$11))</f>
        <v/>
      </c>
      <c r="P38" s="32" t="str">
        <f t="array" ref="P38">IF($B38="","",STDEV(IF(POS_Time&gt;=($C38+CONVERT(Variables!$C$12,"sec","day")),IF(POS_Time&lt;=($D38-CONVERT(Variables!$C$12+1,"sec","day")),IF(POS_Q&lt;=Variables!$C$11,POS_Lat)))))</f>
        <v/>
      </c>
      <c r="Q38" s="32" t="str">
        <f t="array" ref="Q38">IF($B38="","",STDEV(IF(POS_Time&gt;=($C38+CONVERT(Variables!$C$12,"sec","day")),IF(POS_Time&lt;=($D38-CONVERT(Variables!$C$12+1,"sec","day")),IF(POS_Q&lt;=Variables!$C$11,POS_Long)))))</f>
        <v/>
      </c>
      <c r="R38" s="32" t="str">
        <f t="array" ref="R38">IF($B38="","",STDEV(IF(POS_Time&gt;=($C38+CONVERT(Variables!$C$12,"sec","day")),IF(POS_Time&lt;=($D38-CONVERT(Variables!$C$12+1,"sec","day")),IF(POS_Q&lt;=Variables!$C$11,POS_elev)))))</f>
        <v/>
      </c>
      <c r="S38" s="30" t="str">
        <f>IF($B38="","",'Rover CSV Data'!K38)</f>
        <v/>
      </c>
      <c r="T38" s="26" t="str">
        <f>IF($B38="","",COUNTIFS(POS_Time,"&gt;="&amp;($C38+CONVERT(Variables!$C$12,"sec","day")),POS_Time,"&lt;="&amp;($D38-CONVERT(Variables!$C$12+1,"sec","day")),POS_Q,"&lt;="&amp;Variables!$C$11))</f>
        <v/>
      </c>
      <c r="U38" s="26" t="str">
        <f>IF($B38="","",IF(1&gt;Variables!$C$11,0,COUNTIFS(POS_Time,"&gt;="&amp;($C38+CONVERT(Variables!$C$12,"sec","day")),POS_Time,"&lt;="&amp;($D38-CONVERT(Variables!$C$12+1,"sec","day")),POS_Q,"=1")))</f>
        <v/>
      </c>
      <c r="V38" s="26" t="str">
        <f>IF($B38="","",IF(2&gt;Variables!$C$11,0,COUNTIFS(POS_Time,"&gt;="&amp;($C38+CONVERT(Variables!$C$12,"sec","day")),POS_Time,"&lt;="&amp;($D38-CONVERT(Variables!$C$12+1,"sec","day")),POS_Q,"=2")))</f>
        <v/>
      </c>
      <c r="W38" s="26" t="str">
        <f>IF($B38="","",IF(3&gt;Variables!$C$11,0,COUNTIFS(POS_Time,"&gt;="&amp;($C38+CONVERT(Variables!$C$12,"sec","day")),POS_Time,"&lt;="&amp;($D38-CONVERT(Variables!$C$12+1,"sec","day")),POS_Q,"=3")))</f>
        <v/>
      </c>
      <c r="X38" s="26" t="str">
        <f>IF($B38="","",IF(4&gt;Variables!$C$11,0,COUNTIFS(POS_Time,"&gt;="&amp;($C38+CONVERT(Variables!$C$12,"sec","day")),POS_Time,"&lt;="&amp;($D38-CONVERT(Variables!$C$12+1,"sec","day")),POS_Q,"=4")))</f>
        <v/>
      </c>
      <c r="Y38" s="26" t="str">
        <f>IF($B38="","",IF(5&gt;Variables!$C$11,0,COUNTIFS(POS_Time,"&gt;="&amp;($C38+CONVERT(Variables!$C$12,"sec","day")),POS_Time,"&lt;="&amp;($D38-CONVERT(Variables!$C$12+1,"sec","day")),POS_Q,"=5")))</f>
        <v/>
      </c>
      <c r="Z38" s="26" t="str">
        <f>IF($B38="","",IF(6&gt;Variables!$C$11,0,COUNTIFS(POS_Time,"&gt;="&amp;($C38+CONVERT(Variables!$C$12,"sec","day")),POS_Time,"&lt;="&amp;($D38-CONVERT(Variables!$C$12+1,"sec","day")),POS_Q,"=6")))</f>
        <v/>
      </c>
    </row>
    <row r="39" spans="1:26" x14ac:dyDescent="0.25">
      <c r="A39" s="2">
        <v>38</v>
      </c>
      <c r="B39" s="27" t="str">
        <f>IF((ROW()-1)&lt;=RoverStations,'Rover CSV Data'!B39,"")</f>
        <v/>
      </c>
      <c r="C39" s="28" t="str">
        <f>IF($B39="","",DATEVALUE(LEFT('Rover CSV Data'!F39,FIND(" ",'Rover CSV Data'!F39)-1))+TIMEVALUE(MID('Rover CSV Data'!F39,LEN('Rover CSV Data'!F39)-FIND(" ",'Rover CSV Data'!F39),(FIND(" UTC",'Rover CSV Data'!F39))-(LEN('Rover CSV Data'!F39)-FIND(" ",'Rover CSV Data'!F39)))))</f>
        <v/>
      </c>
      <c r="D39" s="28" t="str">
        <f>IF($B39="","",DATEVALUE(LEFT('Rover CSV Data'!G39,FIND(" ",'Rover CSV Data'!G39)-1))+TIMEVALUE(MID('Rover CSV Data'!G39,LEN('Rover CSV Data'!G39)-FIND(" ",'Rover CSV Data'!G39),(FIND(" UTC",'Rover CSV Data'!G39))-(LEN('Rover CSV Data'!G39)-FIND(" ",'Rover CSV Data'!G39)))))</f>
        <v/>
      </c>
      <c r="E39" s="29" t="str">
        <f t="shared" si="1"/>
        <v/>
      </c>
      <c r="F39" s="26" t="str">
        <f>IF($B39="","",'Rover CSV Data'!J39)</f>
        <v/>
      </c>
      <c r="G39" s="26" t="str">
        <f>IF($B39="","",AVERAGEIFS(POS_Lat,POS_Time,"&gt;="&amp;($C39+CONVERT(Variables!$C$12,"sec","day")),POS_Time,"&lt;="&amp;($D39-CONVERT(Variables!$C$12+1,"sec","day")),POS_Q,"&lt;="&amp;Variables!$C$11))</f>
        <v/>
      </c>
      <c r="H39" s="26" t="str">
        <f>IF($B39="","",AVERAGEIFS(POS_Long,POS_Time,"&gt;="&amp;($C39+CONVERT(Variables!$C$12,"sec","day")),POS_Time,"&lt;="&amp;($D39-CONVERT(Variables!$C$12+1,"sec","day")),POS_Q,"&lt;="&amp;Variables!$C$11))</f>
        <v/>
      </c>
      <c r="I39" s="30" t="str">
        <f>IF($B39="","",AVERAGEIFS(POS_elev,POS_Time,"&gt;="&amp;($C39+CONVERT(Variables!$C$12,"sec","day")),POS_Time,"&lt;="&amp;($D39-CONVERT(Variables!$C$12+1,"sec","day")),POS_Q,"&lt;="&amp;Variables!$C$11)-S39)</f>
        <v/>
      </c>
      <c r="J39" s="26" t="str">
        <f>IF($B39="","",'Rover CSV Data'!D39)</f>
        <v/>
      </c>
      <c r="K39" s="26" t="str">
        <f>IF($B39="","",'Rover CSV Data'!C39)</f>
        <v/>
      </c>
      <c r="L39" s="26" t="str">
        <f>IF($B39="","",'Rover CSV Data'!E39)</f>
        <v/>
      </c>
      <c r="M39" s="30" t="str">
        <f>IF($B39="","",AVERAGEIFS(sdn,POS_Time,"&gt;="&amp;($C39+CONVERT(Variables!$C$12,"sec","day")),POS_Time,"&lt;="&amp;($D39-CONVERT(Variables!$C$12+1,"sec","day")),POS_Q,"&lt;="&amp;Variables!$C$11))</f>
        <v/>
      </c>
      <c r="N39" s="31" t="str">
        <f>IF($B39="","",AVERAGEIFS(sde,POS_Time,"&gt;="&amp;($C39+CONVERT(Variables!$C$12,"sec","day")),POS_Time,"&lt;="&amp;($D39-CONVERT(Variables!$C$12+1,"sec","day")),POS_Q,"&lt;="&amp;Variables!$C$11))</f>
        <v/>
      </c>
      <c r="O39" s="31" t="str">
        <f>IF($B39="","",AVERAGEIFS(sdu,POS_Time,"&gt;="&amp;($C39+CONVERT(Variables!$C$12,"sec","day")),POS_Time,"&lt;="&amp;($D39-CONVERT(Variables!$C$12+1,"sec","day")),POS_Q,"&lt;="&amp;Variables!$C$11))</f>
        <v/>
      </c>
      <c r="P39" s="32" t="str">
        <f t="array" ref="P39">IF($B39="","",STDEV(IF(POS_Time&gt;=($C39+CONVERT(Variables!$C$12,"sec","day")),IF(POS_Time&lt;=($D39-CONVERT(Variables!$C$12+1,"sec","day")),IF(POS_Q&lt;=Variables!$C$11,POS_Lat)))))</f>
        <v/>
      </c>
      <c r="Q39" s="32" t="str">
        <f t="array" ref="Q39">IF($B39="","",STDEV(IF(POS_Time&gt;=($C39+CONVERT(Variables!$C$12,"sec","day")),IF(POS_Time&lt;=($D39-CONVERT(Variables!$C$12+1,"sec","day")),IF(POS_Q&lt;=Variables!$C$11,POS_Long)))))</f>
        <v/>
      </c>
      <c r="R39" s="32" t="str">
        <f t="array" ref="R39">IF($B39="","",STDEV(IF(POS_Time&gt;=($C39+CONVERT(Variables!$C$12,"sec","day")),IF(POS_Time&lt;=($D39-CONVERT(Variables!$C$12+1,"sec","day")),IF(POS_Q&lt;=Variables!$C$11,POS_elev)))))</f>
        <v/>
      </c>
      <c r="S39" s="30" t="str">
        <f>IF($B39="","",'Rover CSV Data'!K39)</f>
        <v/>
      </c>
      <c r="T39" s="26" t="str">
        <f>IF($B39="","",COUNTIFS(POS_Time,"&gt;="&amp;($C39+CONVERT(Variables!$C$12,"sec","day")),POS_Time,"&lt;="&amp;($D39-CONVERT(Variables!$C$12+1,"sec","day")),POS_Q,"&lt;="&amp;Variables!$C$11))</f>
        <v/>
      </c>
      <c r="U39" s="26" t="str">
        <f>IF($B39="","",IF(1&gt;Variables!$C$11,0,COUNTIFS(POS_Time,"&gt;="&amp;($C39+CONVERT(Variables!$C$12,"sec","day")),POS_Time,"&lt;="&amp;($D39-CONVERT(Variables!$C$12+1,"sec","day")),POS_Q,"=1")))</f>
        <v/>
      </c>
      <c r="V39" s="26" t="str">
        <f>IF($B39="","",IF(2&gt;Variables!$C$11,0,COUNTIFS(POS_Time,"&gt;="&amp;($C39+CONVERT(Variables!$C$12,"sec","day")),POS_Time,"&lt;="&amp;($D39-CONVERT(Variables!$C$12+1,"sec","day")),POS_Q,"=2")))</f>
        <v/>
      </c>
      <c r="W39" s="26" t="str">
        <f>IF($B39="","",IF(3&gt;Variables!$C$11,0,COUNTIFS(POS_Time,"&gt;="&amp;($C39+CONVERT(Variables!$C$12,"sec","day")),POS_Time,"&lt;="&amp;($D39-CONVERT(Variables!$C$12+1,"sec","day")),POS_Q,"=3")))</f>
        <v/>
      </c>
      <c r="X39" s="26" t="str">
        <f>IF($B39="","",IF(4&gt;Variables!$C$11,0,COUNTIFS(POS_Time,"&gt;="&amp;($C39+CONVERT(Variables!$C$12,"sec","day")),POS_Time,"&lt;="&amp;($D39-CONVERT(Variables!$C$12+1,"sec","day")),POS_Q,"=4")))</f>
        <v/>
      </c>
      <c r="Y39" s="26" t="str">
        <f>IF($B39="","",IF(5&gt;Variables!$C$11,0,COUNTIFS(POS_Time,"&gt;="&amp;($C39+CONVERT(Variables!$C$12,"sec","day")),POS_Time,"&lt;="&amp;($D39-CONVERT(Variables!$C$12+1,"sec","day")),POS_Q,"=5")))</f>
        <v/>
      </c>
      <c r="Z39" s="26" t="str">
        <f>IF($B39="","",IF(6&gt;Variables!$C$11,0,COUNTIFS(POS_Time,"&gt;="&amp;($C39+CONVERT(Variables!$C$12,"sec","day")),POS_Time,"&lt;="&amp;($D39-CONVERT(Variables!$C$12+1,"sec","day")),POS_Q,"=6")))</f>
        <v/>
      </c>
    </row>
    <row r="40" spans="1:26" x14ac:dyDescent="0.25">
      <c r="A40" s="2">
        <v>39</v>
      </c>
      <c r="B40" s="27" t="str">
        <f>IF((ROW()-1)&lt;=RoverStations,'Rover CSV Data'!B40,"")</f>
        <v/>
      </c>
      <c r="C40" s="28" t="str">
        <f>IF($B40="","",DATEVALUE(LEFT('Rover CSV Data'!F40,FIND(" ",'Rover CSV Data'!F40)-1))+TIMEVALUE(MID('Rover CSV Data'!F40,LEN('Rover CSV Data'!F40)-FIND(" ",'Rover CSV Data'!F40),(FIND(" UTC",'Rover CSV Data'!F40))-(LEN('Rover CSV Data'!F40)-FIND(" ",'Rover CSV Data'!F40)))))</f>
        <v/>
      </c>
      <c r="D40" s="28" t="str">
        <f>IF($B40="","",DATEVALUE(LEFT('Rover CSV Data'!G40,FIND(" ",'Rover CSV Data'!G40)-1))+TIMEVALUE(MID('Rover CSV Data'!G40,LEN('Rover CSV Data'!G40)-FIND(" ",'Rover CSV Data'!G40),(FIND(" UTC",'Rover CSV Data'!G40))-(LEN('Rover CSV Data'!G40)-FIND(" ",'Rover CSV Data'!G40)))))</f>
        <v/>
      </c>
      <c r="E40" s="29" t="str">
        <f t="shared" si="1"/>
        <v/>
      </c>
      <c r="F40" s="26" t="str">
        <f>IF($B40="","",'Rover CSV Data'!J40)</f>
        <v/>
      </c>
      <c r="G40" s="26" t="str">
        <f>IF($B40="","",AVERAGEIFS(POS_Lat,POS_Time,"&gt;="&amp;($C40+CONVERT(Variables!$C$12,"sec","day")),POS_Time,"&lt;="&amp;($D40-CONVERT(Variables!$C$12+1,"sec","day")),POS_Q,"&lt;="&amp;Variables!$C$11))</f>
        <v/>
      </c>
      <c r="H40" s="26" t="str">
        <f>IF($B40="","",AVERAGEIFS(POS_Long,POS_Time,"&gt;="&amp;($C40+CONVERT(Variables!$C$12,"sec","day")),POS_Time,"&lt;="&amp;($D40-CONVERT(Variables!$C$12+1,"sec","day")),POS_Q,"&lt;="&amp;Variables!$C$11))</f>
        <v/>
      </c>
      <c r="I40" s="30" t="str">
        <f>IF($B40="","",AVERAGEIFS(POS_elev,POS_Time,"&gt;="&amp;($C40+CONVERT(Variables!$C$12,"sec","day")),POS_Time,"&lt;="&amp;($D40-CONVERT(Variables!$C$12+1,"sec","day")),POS_Q,"&lt;="&amp;Variables!$C$11)-S40)</f>
        <v/>
      </c>
      <c r="J40" s="26" t="str">
        <f>IF($B40="","",'Rover CSV Data'!D40)</f>
        <v/>
      </c>
      <c r="K40" s="26" t="str">
        <f>IF($B40="","",'Rover CSV Data'!C40)</f>
        <v/>
      </c>
      <c r="L40" s="26" t="str">
        <f>IF($B40="","",'Rover CSV Data'!E40)</f>
        <v/>
      </c>
      <c r="M40" s="30" t="str">
        <f>IF($B40="","",AVERAGEIFS(sdn,POS_Time,"&gt;="&amp;($C40+CONVERT(Variables!$C$12,"sec","day")),POS_Time,"&lt;="&amp;($D40-CONVERT(Variables!$C$12+1,"sec","day")),POS_Q,"&lt;="&amp;Variables!$C$11))</f>
        <v/>
      </c>
      <c r="N40" s="31" t="str">
        <f>IF($B40="","",AVERAGEIFS(sde,POS_Time,"&gt;="&amp;($C40+CONVERT(Variables!$C$12,"sec","day")),POS_Time,"&lt;="&amp;($D40-CONVERT(Variables!$C$12+1,"sec","day")),POS_Q,"&lt;="&amp;Variables!$C$11))</f>
        <v/>
      </c>
      <c r="O40" s="31" t="str">
        <f>IF($B40="","",AVERAGEIFS(sdu,POS_Time,"&gt;="&amp;($C40+CONVERT(Variables!$C$12,"sec","day")),POS_Time,"&lt;="&amp;($D40-CONVERT(Variables!$C$12+1,"sec","day")),POS_Q,"&lt;="&amp;Variables!$C$11))</f>
        <v/>
      </c>
      <c r="P40" s="32" t="str">
        <f t="array" ref="P40">IF($B40="","",STDEV(IF(POS_Time&gt;=($C40+CONVERT(Variables!$C$12,"sec","day")),IF(POS_Time&lt;=($D40-CONVERT(Variables!$C$12+1,"sec","day")),IF(POS_Q&lt;=Variables!$C$11,POS_Lat)))))</f>
        <v/>
      </c>
      <c r="Q40" s="32" t="str">
        <f t="array" ref="Q40">IF($B40="","",STDEV(IF(POS_Time&gt;=($C40+CONVERT(Variables!$C$12,"sec","day")),IF(POS_Time&lt;=($D40-CONVERT(Variables!$C$12+1,"sec","day")),IF(POS_Q&lt;=Variables!$C$11,POS_Long)))))</f>
        <v/>
      </c>
      <c r="R40" s="32" t="str">
        <f t="array" ref="R40">IF($B40="","",STDEV(IF(POS_Time&gt;=($C40+CONVERT(Variables!$C$12,"sec","day")),IF(POS_Time&lt;=($D40-CONVERT(Variables!$C$12+1,"sec","day")),IF(POS_Q&lt;=Variables!$C$11,POS_elev)))))</f>
        <v/>
      </c>
      <c r="S40" s="30" t="str">
        <f>IF($B40="","",'Rover CSV Data'!K40)</f>
        <v/>
      </c>
      <c r="T40" s="26" t="str">
        <f>IF($B40="","",COUNTIFS(POS_Time,"&gt;="&amp;($C40+CONVERT(Variables!$C$12,"sec","day")),POS_Time,"&lt;="&amp;($D40-CONVERT(Variables!$C$12+1,"sec","day")),POS_Q,"&lt;="&amp;Variables!$C$11))</f>
        <v/>
      </c>
      <c r="U40" s="26" t="str">
        <f>IF($B40="","",IF(1&gt;Variables!$C$11,0,COUNTIFS(POS_Time,"&gt;="&amp;($C40+CONVERT(Variables!$C$12,"sec","day")),POS_Time,"&lt;="&amp;($D40-CONVERT(Variables!$C$12+1,"sec","day")),POS_Q,"=1")))</f>
        <v/>
      </c>
      <c r="V40" s="26" t="str">
        <f>IF($B40="","",IF(2&gt;Variables!$C$11,0,COUNTIFS(POS_Time,"&gt;="&amp;($C40+CONVERT(Variables!$C$12,"sec","day")),POS_Time,"&lt;="&amp;($D40-CONVERT(Variables!$C$12+1,"sec","day")),POS_Q,"=2")))</f>
        <v/>
      </c>
      <c r="W40" s="26" t="str">
        <f>IF($B40="","",IF(3&gt;Variables!$C$11,0,COUNTIFS(POS_Time,"&gt;="&amp;($C40+CONVERT(Variables!$C$12,"sec","day")),POS_Time,"&lt;="&amp;($D40-CONVERT(Variables!$C$12+1,"sec","day")),POS_Q,"=3")))</f>
        <v/>
      </c>
      <c r="X40" s="26" t="str">
        <f>IF($B40="","",IF(4&gt;Variables!$C$11,0,COUNTIFS(POS_Time,"&gt;="&amp;($C40+CONVERT(Variables!$C$12,"sec","day")),POS_Time,"&lt;="&amp;($D40-CONVERT(Variables!$C$12+1,"sec","day")),POS_Q,"=4")))</f>
        <v/>
      </c>
      <c r="Y40" s="26" t="str">
        <f>IF($B40="","",IF(5&gt;Variables!$C$11,0,COUNTIFS(POS_Time,"&gt;="&amp;($C40+CONVERT(Variables!$C$12,"sec","day")),POS_Time,"&lt;="&amp;($D40-CONVERT(Variables!$C$12+1,"sec","day")),POS_Q,"=5")))</f>
        <v/>
      </c>
      <c r="Z40" s="26" t="str">
        <f>IF($B40="","",IF(6&gt;Variables!$C$11,0,COUNTIFS(POS_Time,"&gt;="&amp;($C40+CONVERT(Variables!$C$12,"sec","day")),POS_Time,"&lt;="&amp;($D40-CONVERT(Variables!$C$12+1,"sec","day")),POS_Q,"=6")))</f>
        <v/>
      </c>
    </row>
    <row r="41" spans="1:26" x14ac:dyDescent="0.25">
      <c r="A41" s="2">
        <v>40</v>
      </c>
      <c r="B41" s="27" t="str">
        <f>IF((ROW()-1)&lt;=RoverStations,'Rover CSV Data'!B41,"")</f>
        <v/>
      </c>
      <c r="C41" s="28" t="str">
        <f>IF($B41="","",DATEVALUE(LEFT('Rover CSV Data'!F41,FIND(" ",'Rover CSV Data'!F41)-1))+TIMEVALUE(MID('Rover CSV Data'!F41,LEN('Rover CSV Data'!F41)-FIND(" ",'Rover CSV Data'!F41),(FIND(" UTC",'Rover CSV Data'!F41))-(LEN('Rover CSV Data'!F41)-FIND(" ",'Rover CSV Data'!F41)))))</f>
        <v/>
      </c>
      <c r="D41" s="28" t="str">
        <f>IF($B41="","",DATEVALUE(LEFT('Rover CSV Data'!G41,FIND(" ",'Rover CSV Data'!G41)-1))+TIMEVALUE(MID('Rover CSV Data'!G41,LEN('Rover CSV Data'!G41)-FIND(" ",'Rover CSV Data'!G41),(FIND(" UTC",'Rover CSV Data'!G41))-(LEN('Rover CSV Data'!G41)-FIND(" ",'Rover CSV Data'!G41)))))</f>
        <v/>
      </c>
      <c r="E41" s="29" t="str">
        <f t="shared" si="1"/>
        <v/>
      </c>
      <c r="F41" s="26" t="str">
        <f>IF($B41="","",'Rover CSV Data'!J41)</f>
        <v/>
      </c>
      <c r="G41" s="26" t="str">
        <f>IF($B41="","",AVERAGEIFS(POS_Lat,POS_Time,"&gt;="&amp;($C41+CONVERT(Variables!$C$12,"sec","day")),POS_Time,"&lt;="&amp;($D41-CONVERT(Variables!$C$12+1,"sec","day")),POS_Q,"&lt;="&amp;Variables!$C$11))</f>
        <v/>
      </c>
      <c r="H41" s="26" t="str">
        <f>IF($B41="","",AVERAGEIFS(POS_Long,POS_Time,"&gt;="&amp;($C41+CONVERT(Variables!$C$12,"sec","day")),POS_Time,"&lt;="&amp;($D41-CONVERT(Variables!$C$12+1,"sec","day")),POS_Q,"&lt;="&amp;Variables!$C$11))</f>
        <v/>
      </c>
      <c r="I41" s="30" t="str">
        <f>IF($B41="","",AVERAGEIFS(POS_elev,POS_Time,"&gt;="&amp;($C41+CONVERT(Variables!$C$12,"sec","day")),POS_Time,"&lt;="&amp;($D41-CONVERT(Variables!$C$12+1,"sec","day")),POS_Q,"&lt;="&amp;Variables!$C$11)-S41)</f>
        <v/>
      </c>
      <c r="J41" s="26" t="str">
        <f>IF($B41="","",'Rover CSV Data'!D41)</f>
        <v/>
      </c>
      <c r="K41" s="26" t="str">
        <f>IF($B41="","",'Rover CSV Data'!C41)</f>
        <v/>
      </c>
      <c r="L41" s="26" t="str">
        <f>IF($B41="","",'Rover CSV Data'!E41)</f>
        <v/>
      </c>
      <c r="M41" s="30" t="str">
        <f>IF($B41="","",AVERAGEIFS(sdn,POS_Time,"&gt;="&amp;($C41+CONVERT(Variables!$C$12,"sec","day")),POS_Time,"&lt;="&amp;($D41-CONVERT(Variables!$C$12+1,"sec","day")),POS_Q,"&lt;="&amp;Variables!$C$11))</f>
        <v/>
      </c>
      <c r="N41" s="31" t="str">
        <f>IF($B41="","",AVERAGEIFS(sde,POS_Time,"&gt;="&amp;($C41+CONVERT(Variables!$C$12,"sec","day")),POS_Time,"&lt;="&amp;($D41-CONVERT(Variables!$C$12+1,"sec","day")),POS_Q,"&lt;="&amp;Variables!$C$11))</f>
        <v/>
      </c>
      <c r="O41" s="31" t="str">
        <f>IF($B41="","",AVERAGEIFS(sdu,POS_Time,"&gt;="&amp;($C41+CONVERT(Variables!$C$12,"sec","day")),POS_Time,"&lt;="&amp;($D41-CONVERT(Variables!$C$12+1,"sec","day")),POS_Q,"&lt;="&amp;Variables!$C$11))</f>
        <v/>
      </c>
      <c r="P41" s="32" t="str">
        <f t="array" ref="P41">IF($B41="","",STDEV(IF(POS_Time&gt;=($C41+CONVERT(Variables!$C$12,"sec","day")),IF(POS_Time&lt;=($D41-CONVERT(Variables!$C$12+1,"sec","day")),IF(POS_Q&lt;=Variables!$C$11,POS_Lat)))))</f>
        <v/>
      </c>
      <c r="Q41" s="32" t="str">
        <f t="array" ref="Q41">IF($B41="","",STDEV(IF(POS_Time&gt;=($C41+CONVERT(Variables!$C$12,"sec","day")),IF(POS_Time&lt;=($D41-CONVERT(Variables!$C$12+1,"sec","day")),IF(POS_Q&lt;=Variables!$C$11,POS_Long)))))</f>
        <v/>
      </c>
      <c r="R41" s="32" t="str">
        <f t="array" ref="R41">IF($B41="","",STDEV(IF(POS_Time&gt;=($C41+CONVERT(Variables!$C$12,"sec","day")),IF(POS_Time&lt;=($D41-CONVERT(Variables!$C$12+1,"sec","day")),IF(POS_Q&lt;=Variables!$C$11,POS_elev)))))</f>
        <v/>
      </c>
      <c r="S41" s="30" t="str">
        <f>IF($B41="","",'Rover CSV Data'!K41)</f>
        <v/>
      </c>
      <c r="T41" s="26" t="str">
        <f>IF($B41="","",COUNTIFS(POS_Time,"&gt;="&amp;($C41+CONVERT(Variables!$C$12,"sec","day")),POS_Time,"&lt;="&amp;($D41-CONVERT(Variables!$C$12+1,"sec","day")),POS_Q,"&lt;="&amp;Variables!$C$11))</f>
        <v/>
      </c>
      <c r="U41" s="26" t="str">
        <f>IF($B41="","",IF(1&gt;Variables!$C$11,0,COUNTIFS(POS_Time,"&gt;="&amp;($C41+CONVERT(Variables!$C$12,"sec","day")),POS_Time,"&lt;="&amp;($D41-CONVERT(Variables!$C$12+1,"sec","day")),POS_Q,"=1")))</f>
        <v/>
      </c>
      <c r="V41" s="26" t="str">
        <f>IF($B41="","",IF(2&gt;Variables!$C$11,0,COUNTIFS(POS_Time,"&gt;="&amp;($C41+CONVERT(Variables!$C$12,"sec","day")),POS_Time,"&lt;="&amp;($D41-CONVERT(Variables!$C$12+1,"sec","day")),POS_Q,"=2")))</f>
        <v/>
      </c>
      <c r="W41" s="26" t="str">
        <f>IF($B41="","",IF(3&gt;Variables!$C$11,0,COUNTIFS(POS_Time,"&gt;="&amp;($C41+CONVERT(Variables!$C$12,"sec","day")),POS_Time,"&lt;="&amp;($D41-CONVERT(Variables!$C$12+1,"sec","day")),POS_Q,"=3")))</f>
        <v/>
      </c>
      <c r="X41" s="26" t="str">
        <f>IF($B41="","",IF(4&gt;Variables!$C$11,0,COUNTIFS(POS_Time,"&gt;="&amp;($C41+CONVERT(Variables!$C$12,"sec","day")),POS_Time,"&lt;="&amp;($D41-CONVERT(Variables!$C$12+1,"sec","day")),POS_Q,"=4")))</f>
        <v/>
      </c>
      <c r="Y41" s="26" t="str">
        <f>IF($B41="","",IF(5&gt;Variables!$C$11,0,COUNTIFS(POS_Time,"&gt;="&amp;($C41+CONVERT(Variables!$C$12,"sec","day")),POS_Time,"&lt;="&amp;($D41-CONVERT(Variables!$C$12+1,"sec","day")),POS_Q,"=5")))</f>
        <v/>
      </c>
      <c r="Z41" s="26" t="str">
        <f>IF($B41="","",IF(6&gt;Variables!$C$11,0,COUNTIFS(POS_Time,"&gt;="&amp;($C41+CONVERT(Variables!$C$12,"sec","day")),POS_Time,"&lt;="&amp;($D41-CONVERT(Variables!$C$12+1,"sec","day")),POS_Q,"=6")))</f>
        <v/>
      </c>
    </row>
    <row r="42" spans="1:26" x14ac:dyDescent="0.25">
      <c r="A42" s="2">
        <v>41</v>
      </c>
      <c r="B42" s="27" t="str">
        <f>IF((ROW()-1)&lt;=RoverStations,'Rover CSV Data'!B42,"")</f>
        <v/>
      </c>
      <c r="C42" s="28" t="str">
        <f>IF($B42="","",DATEVALUE(LEFT('Rover CSV Data'!F42,FIND(" ",'Rover CSV Data'!F42)-1))+TIMEVALUE(MID('Rover CSV Data'!F42,LEN('Rover CSV Data'!F42)-FIND(" ",'Rover CSV Data'!F42),(FIND(" UTC",'Rover CSV Data'!F42))-(LEN('Rover CSV Data'!F42)-FIND(" ",'Rover CSV Data'!F42)))))</f>
        <v/>
      </c>
      <c r="D42" s="28" t="str">
        <f>IF($B42="","",DATEVALUE(LEFT('Rover CSV Data'!G42,FIND(" ",'Rover CSV Data'!G42)-1))+TIMEVALUE(MID('Rover CSV Data'!G42,LEN('Rover CSV Data'!G42)-FIND(" ",'Rover CSV Data'!G42),(FIND(" UTC",'Rover CSV Data'!G42))-(LEN('Rover CSV Data'!G42)-FIND(" ",'Rover CSV Data'!G42)))))</f>
        <v/>
      </c>
      <c r="E42" s="29" t="str">
        <f t="shared" si="1"/>
        <v/>
      </c>
      <c r="F42" s="26" t="str">
        <f>IF($B42="","",'Rover CSV Data'!J42)</f>
        <v/>
      </c>
      <c r="G42" s="26" t="str">
        <f>IF($B42="","",AVERAGEIFS(POS_Lat,POS_Time,"&gt;="&amp;($C42+CONVERT(Variables!$C$12,"sec","day")),POS_Time,"&lt;="&amp;($D42-CONVERT(Variables!$C$12+1,"sec","day")),POS_Q,"&lt;="&amp;Variables!$C$11))</f>
        <v/>
      </c>
      <c r="H42" s="26" t="str">
        <f>IF($B42="","",AVERAGEIFS(POS_Long,POS_Time,"&gt;="&amp;($C42+CONVERT(Variables!$C$12,"sec","day")),POS_Time,"&lt;="&amp;($D42-CONVERT(Variables!$C$12+1,"sec","day")),POS_Q,"&lt;="&amp;Variables!$C$11))</f>
        <v/>
      </c>
      <c r="I42" s="30" t="str">
        <f>IF($B42="","",AVERAGEIFS(POS_elev,POS_Time,"&gt;="&amp;($C42+CONVERT(Variables!$C$12,"sec","day")),POS_Time,"&lt;="&amp;($D42-CONVERT(Variables!$C$12+1,"sec","day")),POS_Q,"&lt;="&amp;Variables!$C$11)-S42)</f>
        <v/>
      </c>
      <c r="J42" s="26" t="str">
        <f>IF($B42="","",'Rover CSV Data'!D42)</f>
        <v/>
      </c>
      <c r="K42" s="26" t="str">
        <f>IF($B42="","",'Rover CSV Data'!C42)</f>
        <v/>
      </c>
      <c r="L42" s="26" t="str">
        <f>IF($B42="","",'Rover CSV Data'!E42)</f>
        <v/>
      </c>
      <c r="M42" s="30" t="str">
        <f>IF($B42="","",AVERAGEIFS(sdn,POS_Time,"&gt;="&amp;($C42+CONVERT(Variables!$C$12,"sec","day")),POS_Time,"&lt;="&amp;($D42-CONVERT(Variables!$C$12+1,"sec","day")),POS_Q,"&lt;="&amp;Variables!$C$11))</f>
        <v/>
      </c>
      <c r="N42" s="31" t="str">
        <f>IF($B42="","",AVERAGEIFS(sde,POS_Time,"&gt;="&amp;($C42+CONVERT(Variables!$C$12,"sec","day")),POS_Time,"&lt;="&amp;($D42-CONVERT(Variables!$C$12+1,"sec","day")),POS_Q,"&lt;="&amp;Variables!$C$11))</f>
        <v/>
      </c>
      <c r="O42" s="31" t="str">
        <f>IF($B42="","",AVERAGEIFS(sdu,POS_Time,"&gt;="&amp;($C42+CONVERT(Variables!$C$12,"sec","day")),POS_Time,"&lt;="&amp;($D42-CONVERT(Variables!$C$12+1,"sec","day")),POS_Q,"&lt;="&amp;Variables!$C$11))</f>
        <v/>
      </c>
      <c r="P42" s="32" t="str">
        <f t="array" ref="P42">IF($B42="","",STDEV(IF(POS_Time&gt;=($C42+CONVERT(Variables!$C$12,"sec","day")),IF(POS_Time&lt;=($D42-CONVERT(Variables!$C$12+1,"sec","day")),IF(POS_Q&lt;=Variables!$C$11,POS_Lat)))))</f>
        <v/>
      </c>
      <c r="Q42" s="32" t="str">
        <f t="array" ref="Q42">IF($B42="","",STDEV(IF(POS_Time&gt;=($C42+CONVERT(Variables!$C$12,"sec","day")),IF(POS_Time&lt;=($D42-CONVERT(Variables!$C$12+1,"sec","day")),IF(POS_Q&lt;=Variables!$C$11,POS_Long)))))</f>
        <v/>
      </c>
      <c r="R42" s="32" t="str">
        <f t="array" ref="R42">IF($B42="","",STDEV(IF(POS_Time&gt;=($C42+CONVERT(Variables!$C$12,"sec","day")),IF(POS_Time&lt;=($D42-CONVERT(Variables!$C$12+1,"sec","day")),IF(POS_Q&lt;=Variables!$C$11,POS_elev)))))</f>
        <v/>
      </c>
      <c r="S42" s="30" t="str">
        <f>IF($B42="","",'Rover CSV Data'!K42)</f>
        <v/>
      </c>
      <c r="T42" s="26" t="str">
        <f>IF($B42="","",COUNTIFS(POS_Time,"&gt;="&amp;($C42+CONVERT(Variables!$C$12,"sec","day")),POS_Time,"&lt;="&amp;($D42-CONVERT(Variables!$C$12+1,"sec","day")),POS_Q,"&lt;="&amp;Variables!$C$11))</f>
        <v/>
      </c>
      <c r="U42" s="26" t="str">
        <f>IF($B42="","",IF(1&gt;Variables!$C$11,0,COUNTIFS(POS_Time,"&gt;="&amp;($C42+CONVERT(Variables!$C$12,"sec","day")),POS_Time,"&lt;="&amp;($D42-CONVERT(Variables!$C$12+1,"sec","day")),POS_Q,"=1")))</f>
        <v/>
      </c>
      <c r="V42" s="26" t="str">
        <f>IF($B42="","",IF(2&gt;Variables!$C$11,0,COUNTIFS(POS_Time,"&gt;="&amp;($C42+CONVERT(Variables!$C$12,"sec","day")),POS_Time,"&lt;="&amp;($D42-CONVERT(Variables!$C$12+1,"sec","day")),POS_Q,"=2")))</f>
        <v/>
      </c>
      <c r="W42" s="26" t="str">
        <f>IF($B42="","",IF(3&gt;Variables!$C$11,0,COUNTIFS(POS_Time,"&gt;="&amp;($C42+CONVERT(Variables!$C$12,"sec","day")),POS_Time,"&lt;="&amp;($D42-CONVERT(Variables!$C$12+1,"sec","day")),POS_Q,"=3")))</f>
        <v/>
      </c>
      <c r="X42" s="26" t="str">
        <f>IF($B42="","",IF(4&gt;Variables!$C$11,0,COUNTIFS(POS_Time,"&gt;="&amp;($C42+CONVERT(Variables!$C$12,"sec","day")),POS_Time,"&lt;="&amp;($D42-CONVERT(Variables!$C$12+1,"sec","day")),POS_Q,"=4")))</f>
        <v/>
      </c>
      <c r="Y42" s="26" t="str">
        <f>IF($B42="","",IF(5&gt;Variables!$C$11,0,COUNTIFS(POS_Time,"&gt;="&amp;($C42+CONVERT(Variables!$C$12,"sec","day")),POS_Time,"&lt;="&amp;($D42-CONVERT(Variables!$C$12+1,"sec","day")),POS_Q,"=5")))</f>
        <v/>
      </c>
      <c r="Z42" s="26" t="str">
        <f>IF($B42="","",IF(6&gt;Variables!$C$11,0,COUNTIFS(POS_Time,"&gt;="&amp;($C42+CONVERT(Variables!$C$12,"sec","day")),POS_Time,"&lt;="&amp;($D42-CONVERT(Variables!$C$12+1,"sec","day")),POS_Q,"=6")))</f>
        <v/>
      </c>
    </row>
    <row r="43" spans="1:26" x14ac:dyDescent="0.25">
      <c r="A43" s="2">
        <v>42</v>
      </c>
      <c r="B43" s="27" t="str">
        <f>IF((ROW()-1)&lt;=RoverStations,'Rover CSV Data'!B43,"")</f>
        <v/>
      </c>
      <c r="C43" s="28" t="str">
        <f>IF($B43="","",DATEVALUE(LEFT('Rover CSV Data'!F43,FIND(" ",'Rover CSV Data'!F43)-1))+TIMEVALUE(MID('Rover CSV Data'!F43,LEN('Rover CSV Data'!F43)-FIND(" ",'Rover CSV Data'!F43),(FIND(" UTC",'Rover CSV Data'!F43))-(LEN('Rover CSV Data'!F43)-FIND(" ",'Rover CSV Data'!F43)))))</f>
        <v/>
      </c>
      <c r="D43" s="28" t="str">
        <f>IF($B43="","",DATEVALUE(LEFT('Rover CSV Data'!G43,FIND(" ",'Rover CSV Data'!G43)-1))+TIMEVALUE(MID('Rover CSV Data'!G43,LEN('Rover CSV Data'!G43)-FIND(" ",'Rover CSV Data'!G43),(FIND(" UTC",'Rover CSV Data'!G43))-(LEN('Rover CSV Data'!G43)-FIND(" ",'Rover CSV Data'!G43)))))</f>
        <v/>
      </c>
      <c r="E43" s="29" t="str">
        <f t="shared" si="1"/>
        <v/>
      </c>
      <c r="F43" s="26" t="str">
        <f>IF($B43="","",'Rover CSV Data'!J43)</f>
        <v/>
      </c>
      <c r="G43" s="26" t="str">
        <f>IF($B43="","",AVERAGEIFS(POS_Lat,POS_Time,"&gt;="&amp;($C43+CONVERT(Variables!$C$12,"sec","day")),POS_Time,"&lt;="&amp;($D43-CONVERT(Variables!$C$12+1,"sec","day")),POS_Q,"&lt;="&amp;Variables!$C$11))</f>
        <v/>
      </c>
      <c r="H43" s="26" t="str">
        <f>IF($B43="","",AVERAGEIFS(POS_Long,POS_Time,"&gt;="&amp;($C43+CONVERT(Variables!$C$12,"sec","day")),POS_Time,"&lt;="&amp;($D43-CONVERT(Variables!$C$12+1,"sec","day")),POS_Q,"&lt;="&amp;Variables!$C$11))</f>
        <v/>
      </c>
      <c r="I43" s="30" t="str">
        <f>IF($B43="","",AVERAGEIFS(POS_elev,POS_Time,"&gt;="&amp;($C43+CONVERT(Variables!$C$12,"sec","day")),POS_Time,"&lt;="&amp;($D43-CONVERT(Variables!$C$12+1,"sec","day")),POS_Q,"&lt;="&amp;Variables!$C$11)-S43)</f>
        <v/>
      </c>
      <c r="J43" s="26" t="str">
        <f>IF($B43="","",'Rover CSV Data'!D43)</f>
        <v/>
      </c>
      <c r="K43" s="26" t="str">
        <f>IF($B43="","",'Rover CSV Data'!C43)</f>
        <v/>
      </c>
      <c r="L43" s="26" t="str">
        <f>IF($B43="","",'Rover CSV Data'!E43)</f>
        <v/>
      </c>
      <c r="M43" s="30" t="str">
        <f>IF($B43="","",AVERAGEIFS(sdn,POS_Time,"&gt;="&amp;($C43+CONVERT(Variables!$C$12,"sec","day")),POS_Time,"&lt;="&amp;($D43-CONVERT(Variables!$C$12+1,"sec","day")),POS_Q,"&lt;="&amp;Variables!$C$11))</f>
        <v/>
      </c>
      <c r="N43" s="31" t="str">
        <f>IF($B43="","",AVERAGEIFS(sde,POS_Time,"&gt;="&amp;($C43+CONVERT(Variables!$C$12,"sec","day")),POS_Time,"&lt;="&amp;($D43-CONVERT(Variables!$C$12+1,"sec","day")),POS_Q,"&lt;="&amp;Variables!$C$11))</f>
        <v/>
      </c>
      <c r="O43" s="31" t="str">
        <f>IF($B43="","",AVERAGEIFS(sdu,POS_Time,"&gt;="&amp;($C43+CONVERT(Variables!$C$12,"sec","day")),POS_Time,"&lt;="&amp;($D43-CONVERT(Variables!$C$12+1,"sec","day")),POS_Q,"&lt;="&amp;Variables!$C$11))</f>
        <v/>
      </c>
      <c r="P43" s="32" t="str">
        <f t="array" ref="P43">IF($B43="","",STDEV(IF(POS_Time&gt;=($C43+CONVERT(Variables!$C$12,"sec","day")),IF(POS_Time&lt;=($D43-CONVERT(Variables!$C$12+1,"sec","day")),IF(POS_Q&lt;=Variables!$C$11,POS_Lat)))))</f>
        <v/>
      </c>
      <c r="Q43" s="32" t="str">
        <f t="array" ref="Q43">IF($B43="","",STDEV(IF(POS_Time&gt;=($C43+CONVERT(Variables!$C$12,"sec","day")),IF(POS_Time&lt;=($D43-CONVERT(Variables!$C$12+1,"sec","day")),IF(POS_Q&lt;=Variables!$C$11,POS_Long)))))</f>
        <v/>
      </c>
      <c r="R43" s="32" t="str">
        <f t="array" ref="R43">IF($B43="","",STDEV(IF(POS_Time&gt;=($C43+CONVERT(Variables!$C$12,"sec","day")),IF(POS_Time&lt;=($D43-CONVERT(Variables!$C$12+1,"sec","day")),IF(POS_Q&lt;=Variables!$C$11,POS_elev)))))</f>
        <v/>
      </c>
      <c r="S43" s="30" t="str">
        <f>IF($B43="","",'Rover CSV Data'!K43)</f>
        <v/>
      </c>
      <c r="T43" s="26" t="str">
        <f>IF($B43="","",COUNTIFS(POS_Time,"&gt;="&amp;($C43+CONVERT(Variables!$C$12,"sec","day")),POS_Time,"&lt;="&amp;($D43-CONVERT(Variables!$C$12+1,"sec","day")),POS_Q,"&lt;="&amp;Variables!$C$11))</f>
        <v/>
      </c>
      <c r="U43" s="26" t="str">
        <f>IF($B43="","",IF(1&gt;Variables!$C$11,0,COUNTIFS(POS_Time,"&gt;="&amp;($C43+CONVERT(Variables!$C$12,"sec","day")),POS_Time,"&lt;="&amp;($D43-CONVERT(Variables!$C$12+1,"sec","day")),POS_Q,"=1")))</f>
        <v/>
      </c>
      <c r="V43" s="26" t="str">
        <f>IF($B43="","",IF(2&gt;Variables!$C$11,0,COUNTIFS(POS_Time,"&gt;="&amp;($C43+CONVERT(Variables!$C$12,"sec","day")),POS_Time,"&lt;="&amp;($D43-CONVERT(Variables!$C$12+1,"sec","day")),POS_Q,"=2")))</f>
        <v/>
      </c>
      <c r="W43" s="26" t="str">
        <f>IF($B43="","",IF(3&gt;Variables!$C$11,0,COUNTIFS(POS_Time,"&gt;="&amp;($C43+CONVERT(Variables!$C$12,"sec","day")),POS_Time,"&lt;="&amp;($D43-CONVERT(Variables!$C$12+1,"sec","day")),POS_Q,"=3")))</f>
        <v/>
      </c>
      <c r="X43" s="26" t="str">
        <f>IF($B43="","",IF(4&gt;Variables!$C$11,0,COUNTIFS(POS_Time,"&gt;="&amp;($C43+CONVERT(Variables!$C$12,"sec","day")),POS_Time,"&lt;="&amp;($D43-CONVERT(Variables!$C$12+1,"sec","day")),POS_Q,"=4")))</f>
        <v/>
      </c>
      <c r="Y43" s="26" t="str">
        <f>IF($B43="","",IF(5&gt;Variables!$C$11,0,COUNTIFS(POS_Time,"&gt;="&amp;($C43+CONVERT(Variables!$C$12,"sec","day")),POS_Time,"&lt;="&amp;($D43-CONVERT(Variables!$C$12+1,"sec","day")),POS_Q,"=5")))</f>
        <v/>
      </c>
      <c r="Z43" s="26" t="str">
        <f>IF($B43="","",IF(6&gt;Variables!$C$11,0,COUNTIFS(POS_Time,"&gt;="&amp;($C43+CONVERT(Variables!$C$12,"sec","day")),POS_Time,"&lt;="&amp;($D43-CONVERT(Variables!$C$12+1,"sec","day")),POS_Q,"=6")))</f>
        <v/>
      </c>
    </row>
    <row r="44" spans="1:26" x14ac:dyDescent="0.25">
      <c r="A44" s="2">
        <v>43</v>
      </c>
      <c r="B44" s="27" t="str">
        <f>IF((ROW()-1)&lt;=RoverStations,'Rover CSV Data'!B44,"")</f>
        <v/>
      </c>
      <c r="C44" s="28" t="str">
        <f>IF($B44="","",DATEVALUE(LEFT('Rover CSV Data'!F44,FIND(" ",'Rover CSV Data'!F44)-1))+TIMEVALUE(MID('Rover CSV Data'!F44,LEN('Rover CSV Data'!F44)-FIND(" ",'Rover CSV Data'!F44),(FIND(" UTC",'Rover CSV Data'!F44))-(LEN('Rover CSV Data'!F44)-FIND(" ",'Rover CSV Data'!F44)))))</f>
        <v/>
      </c>
      <c r="D44" s="28" t="str">
        <f>IF($B44="","",DATEVALUE(LEFT('Rover CSV Data'!G44,FIND(" ",'Rover CSV Data'!G44)-1))+TIMEVALUE(MID('Rover CSV Data'!G44,LEN('Rover CSV Data'!G44)-FIND(" ",'Rover CSV Data'!G44),(FIND(" UTC",'Rover CSV Data'!G44))-(LEN('Rover CSV Data'!G44)-FIND(" ",'Rover CSV Data'!G44)))))</f>
        <v/>
      </c>
      <c r="E44" s="29" t="str">
        <f t="shared" si="1"/>
        <v/>
      </c>
      <c r="F44" s="26" t="str">
        <f>IF($B44="","",'Rover CSV Data'!J44)</f>
        <v/>
      </c>
      <c r="G44" s="26" t="str">
        <f>IF($B44="","",AVERAGEIFS(POS_Lat,POS_Time,"&gt;="&amp;($C44+CONVERT(Variables!$C$12,"sec","day")),POS_Time,"&lt;="&amp;($D44-CONVERT(Variables!$C$12+1,"sec","day")),POS_Q,"&lt;="&amp;Variables!$C$11))</f>
        <v/>
      </c>
      <c r="H44" s="26" t="str">
        <f>IF($B44="","",AVERAGEIFS(POS_Long,POS_Time,"&gt;="&amp;($C44+CONVERT(Variables!$C$12,"sec","day")),POS_Time,"&lt;="&amp;($D44-CONVERT(Variables!$C$12+1,"sec","day")),POS_Q,"&lt;="&amp;Variables!$C$11))</f>
        <v/>
      </c>
      <c r="I44" s="30" t="str">
        <f>IF($B44="","",AVERAGEIFS(POS_elev,POS_Time,"&gt;="&amp;($C44+CONVERT(Variables!$C$12,"sec","day")),POS_Time,"&lt;="&amp;($D44-CONVERT(Variables!$C$12+1,"sec","day")),POS_Q,"&lt;="&amp;Variables!$C$11)-S44)</f>
        <v/>
      </c>
      <c r="J44" s="26" t="str">
        <f>IF($B44="","",'Rover CSV Data'!D44)</f>
        <v/>
      </c>
      <c r="K44" s="26" t="str">
        <f>IF($B44="","",'Rover CSV Data'!C44)</f>
        <v/>
      </c>
      <c r="L44" s="26" t="str">
        <f>IF($B44="","",'Rover CSV Data'!E44)</f>
        <v/>
      </c>
      <c r="M44" s="30" t="str">
        <f>IF($B44="","",AVERAGEIFS(sdn,POS_Time,"&gt;="&amp;($C44+CONVERT(Variables!$C$12,"sec","day")),POS_Time,"&lt;="&amp;($D44-CONVERT(Variables!$C$12+1,"sec","day")),POS_Q,"&lt;="&amp;Variables!$C$11))</f>
        <v/>
      </c>
      <c r="N44" s="31" t="str">
        <f>IF($B44="","",AVERAGEIFS(sde,POS_Time,"&gt;="&amp;($C44+CONVERT(Variables!$C$12,"sec","day")),POS_Time,"&lt;="&amp;($D44-CONVERT(Variables!$C$12+1,"sec","day")),POS_Q,"&lt;="&amp;Variables!$C$11))</f>
        <v/>
      </c>
      <c r="O44" s="31" t="str">
        <f>IF($B44="","",AVERAGEIFS(sdu,POS_Time,"&gt;="&amp;($C44+CONVERT(Variables!$C$12,"sec","day")),POS_Time,"&lt;="&amp;($D44-CONVERT(Variables!$C$12+1,"sec","day")),POS_Q,"&lt;="&amp;Variables!$C$11))</f>
        <v/>
      </c>
      <c r="P44" s="32" t="str">
        <f t="array" ref="P44">IF($B44="","",STDEV(IF(POS_Time&gt;=($C44+CONVERT(Variables!$C$12,"sec","day")),IF(POS_Time&lt;=($D44-CONVERT(Variables!$C$12+1,"sec","day")),IF(POS_Q&lt;=Variables!$C$11,POS_Lat)))))</f>
        <v/>
      </c>
      <c r="Q44" s="32" t="str">
        <f t="array" ref="Q44">IF($B44="","",STDEV(IF(POS_Time&gt;=($C44+CONVERT(Variables!$C$12,"sec","day")),IF(POS_Time&lt;=($D44-CONVERT(Variables!$C$12+1,"sec","day")),IF(POS_Q&lt;=Variables!$C$11,POS_Long)))))</f>
        <v/>
      </c>
      <c r="R44" s="32" t="str">
        <f t="array" ref="R44">IF($B44="","",STDEV(IF(POS_Time&gt;=($C44+CONVERT(Variables!$C$12,"sec","day")),IF(POS_Time&lt;=($D44-CONVERT(Variables!$C$12+1,"sec","day")),IF(POS_Q&lt;=Variables!$C$11,POS_elev)))))</f>
        <v/>
      </c>
      <c r="S44" s="30" t="str">
        <f>IF($B44="","",'Rover CSV Data'!K44)</f>
        <v/>
      </c>
      <c r="T44" s="26" t="str">
        <f>IF($B44="","",COUNTIFS(POS_Time,"&gt;="&amp;($C44+CONVERT(Variables!$C$12,"sec","day")),POS_Time,"&lt;="&amp;($D44-CONVERT(Variables!$C$12+1,"sec","day")),POS_Q,"&lt;="&amp;Variables!$C$11))</f>
        <v/>
      </c>
      <c r="U44" s="26" t="str">
        <f>IF($B44="","",IF(1&gt;Variables!$C$11,0,COUNTIFS(POS_Time,"&gt;="&amp;($C44+CONVERT(Variables!$C$12,"sec","day")),POS_Time,"&lt;="&amp;($D44-CONVERT(Variables!$C$12+1,"sec","day")),POS_Q,"=1")))</f>
        <v/>
      </c>
      <c r="V44" s="26" t="str">
        <f>IF($B44="","",IF(2&gt;Variables!$C$11,0,COUNTIFS(POS_Time,"&gt;="&amp;($C44+CONVERT(Variables!$C$12,"sec","day")),POS_Time,"&lt;="&amp;($D44-CONVERT(Variables!$C$12+1,"sec","day")),POS_Q,"=2")))</f>
        <v/>
      </c>
      <c r="W44" s="26" t="str">
        <f>IF($B44="","",IF(3&gt;Variables!$C$11,0,COUNTIFS(POS_Time,"&gt;="&amp;($C44+CONVERT(Variables!$C$12,"sec","day")),POS_Time,"&lt;="&amp;($D44-CONVERT(Variables!$C$12+1,"sec","day")),POS_Q,"=3")))</f>
        <v/>
      </c>
      <c r="X44" s="26" t="str">
        <f>IF($B44="","",IF(4&gt;Variables!$C$11,0,COUNTIFS(POS_Time,"&gt;="&amp;($C44+CONVERT(Variables!$C$12,"sec","day")),POS_Time,"&lt;="&amp;($D44-CONVERT(Variables!$C$12+1,"sec","day")),POS_Q,"=4")))</f>
        <v/>
      </c>
      <c r="Y44" s="26" t="str">
        <f>IF($B44="","",IF(5&gt;Variables!$C$11,0,COUNTIFS(POS_Time,"&gt;="&amp;($C44+CONVERT(Variables!$C$12,"sec","day")),POS_Time,"&lt;="&amp;($D44-CONVERT(Variables!$C$12+1,"sec","day")),POS_Q,"=5")))</f>
        <v/>
      </c>
      <c r="Z44" s="26" t="str">
        <f>IF($B44="","",IF(6&gt;Variables!$C$11,0,COUNTIFS(POS_Time,"&gt;="&amp;($C44+CONVERT(Variables!$C$12,"sec","day")),POS_Time,"&lt;="&amp;($D44-CONVERT(Variables!$C$12+1,"sec","day")),POS_Q,"=6")))</f>
        <v/>
      </c>
    </row>
    <row r="45" spans="1:26" x14ac:dyDescent="0.25">
      <c r="A45" s="2">
        <v>44</v>
      </c>
      <c r="B45" s="27" t="str">
        <f>IF((ROW()-1)&lt;=RoverStations,'Rover CSV Data'!B45,"")</f>
        <v/>
      </c>
      <c r="C45" s="28" t="str">
        <f>IF($B45="","",DATEVALUE(LEFT('Rover CSV Data'!F45,FIND(" ",'Rover CSV Data'!F45)-1))+TIMEVALUE(MID('Rover CSV Data'!F45,LEN('Rover CSV Data'!F45)-FIND(" ",'Rover CSV Data'!F45),(FIND(" UTC",'Rover CSV Data'!F45))-(LEN('Rover CSV Data'!F45)-FIND(" ",'Rover CSV Data'!F45)))))</f>
        <v/>
      </c>
      <c r="D45" s="28" t="str">
        <f>IF($B45="","",DATEVALUE(LEFT('Rover CSV Data'!G45,FIND(" ",'Rover CSV Data'!G45)-1))+TIMEVALUE(MID('Rover CSV Data'!G45,LEN('Rover CSV Data'!G45)-FIND(" ",'Rover CSV Data'!G45),(FIND(" UTC",'Rover CSV Data'!G45))-(LEN('Rover CSV Data'!G45)-FIND(" ",'Rover CSV Data'!G45)))))</f>
        <v/>
      </c>
      <c r="E45" s="29" t="str">
        <f t="shared" si="1"/>
        <v/>
      </c>
      <c r="F45" s="26" t="str">
        <f>IF($B45="","",'Rover CSV Data'!J45)</f>
        <v/>
      </c>
      <c r="G45" s="26" t="str">
        <f>IF($B45="","",AVERAGEIFS(POS_Lat,POS_Time,"&gt;="&amp;($C45+CONVERT(Variables!$C$12,"sec","day")),POS_Time,"&lt;="&amp;($D45-CONVERT(Variables!$C$12+1,"sec","day")),POS_Q,"&lt;="&amp;Variables!$C$11))</f>
        <v/>
      </c>
      <c r="H45" s="26" t="str">
        <f>IF($B45="","",AVERAGEIFS(POS_Long,POS_Time,"&gt;="&amp;($C45+CONVERT(Variables!$C$12,"sec","day")),POS_Time,"&lt;="&amp;($D45-CONVERT(Variables!$C$12+1,"sec","day")),POS_Q,"&lt;="&amp;Variables!$C$11))</f>
        <v/>
      </c>
      <c r="I45" s="30" t="str">
        <f>IF($B45="","",AVERAGEIFS(POS_elev,POS_Time,"&gt;="&amp;($C45+CONVERT(Variables!$C$12,"sec","day")),POS_Time,"&lt;="&amp;($D45-CONVERT(Variables!$C$12+1,"sec","day")),POS_Q,"&lt;="&amp;Variables!$C$11)-S45)</f>
        <v/>
      </c>
      <c r="J45" s="26" t="str">
        <f>IF($B45="","",'Rover CSV Data'!D45)</f>
        <v/>
      </c>
      <c r="K45" s="26" t="str">
        <f>IF($B45="","",'Rover CSV Data'!C45)</f>
        <v/>
      </c>
      <c r="L45" s="26" t="str">
        <f>IF($B45="","",'Rover CSV Data'!E45)</f>
        <v/>
      </c>
      <c r="M45" s="30" t="str">
        <f>IF($B45="","",AVERAGEIFS(sdn,POS_Time,"&gt;="&amp;($C45+CONVERT(Variables!$C$12,"sec","day")),POS_Time,"&lt;="&amp;($D45-CONVERT(Variables!$C$12+1,"sec","day")),POS_Q,"&lt;="&amp;Variables!$C$11))</f>
        <v/>
      </c>
      <c r="N45" s="31" t="str">
        <f>IF($B45="","",AVERAGEIFS(sde,POS_Time,"&gt;="&amp;($C45+CONVERT(Variables!$C$12,"sec","day")),POS_Time,"&lt;="&amp;($D45-CONVERT(Variables!$C$12+1,"sec","day")),POS_Q,"&lt;="&amp;Variables!$C$11))</f>
        <v/>
      </c>
      <c r="O45" s="31" t="str">
        <f>IF($B45="","",AVERAGEIFS(sdu,POS_Time,"&gt;="&amp;($C45+CONVERT(Variables!$C$12,"sec","day")),POS_Time,"&lt;="&amp;($D45-CONVERT(Variables!$C$12+1,"sec","day")),POS_Q,"&lt;="&amp;Variables!$C$11))</f>
        <v/>
      </c>
      <c r="P45" s="32" t="str">
        <f t="array" ref="P45">IF($B45="","",STDEV(IF(POS_Time&gt;=($C45+CONVERT(Variables!$C$12,"sec","day")),IF(POS_Time&lt;=($D45-CONVERT(Variables!$C$12+1,"sec","day")),IF(POS_Q&lt;=Variables!$C$11,POS_Lat)))))</f>
        <v/>
      </c>
      <c r="Q45" s="32" t="str">
        <f t="array" ref="Q45">IF($B45="","",STDEV(IF(POS_Time&gt;=($C45+CONVERT(Variables!$C$12,"sec","day")),IF(POS_Time&lt;=($D45-CONVERT(Variables!$C$12+1,"sec","day")),IF(POS_Q&lt;=Variables!$C$11,POS_Long)))))</f>
        <v/>
      </c>
      <c r="R45" s="32" t="str">
        <f t="array" ref="R45">IF($B45="","",STDEV(IF(POS_Time&gt;=($C45+CONVERT(Variables!$C$12,"sec","day")),IF(POS_Time&lt;=($D45-CONVERT(Variables!$C$12+1,"sec","day")),IF(POS_Q&lt;=Variables!$C$11,POS_elev)))))</f>
        <v/>
      </c>
      <c r="S45" s="30" t="str">
        <f>IF($B45="","",'Rover CSV Data'!K45)</f>
        <v/>
      </c>
      <c r="T45" s="26" t="str">
        <f>IF($B45="","",COUNTIFS(POS_Time,"&gt;="&amp;($C45+CONVERT(Variables!$C$12,"sec","day")),POS_Time,"&lt;="&amp;($D45-CONVERT(Variables!$C$12+1,"sec","day")),POS_Q,"&lt;="&amp;Variables!$C$11))</f>
        <v/>
      </c>
      <c r="U45" s="26" t="str">
        <f>IF($B45="","",IF(1&gt;Variables!$C$11,0,COUNTIFS(POS_Time,"&gt;="&amp;($C45+CONVERT(Variables!$C$12,"sec","day")),POS_Time,"&lt;="&amp;($D45-CONVERT(Variables!$C$12+1,"sec","day")),POS_Q,"=1")))</f>
        <v/>
      </c>
      <c r="V45" s="26" t="str">
        <f>IF($B45="","",IF(2&gt;Variables!$C$11,0,COUNTIFS(POS_Time,"&gt;="&amp;($C45+CONVERT(Variables!$C$12,"sec","day")),POS_Time,"&lt;="&amp;($D45-CONVERT(Variables!$C$12+1,"sec","day")),POS_Q,"=2")))</f>
        <v/>
      </c>
      <c r="W45" s="26" t="str">
        <f>IF($B45="","",IF(3&gt;Variables!$C$11,0,COUNTIFS(POS_Time,"&gt;="&amp;($C45+CONVERT(Variables!$C$12,"sec","day")),POS_Time,"&lt;="&amp;($D45-CONVERT(Variables!$C$12+1,"sec","day")),POS_Q,"=3")))</f>
        <v/>
      </c>
      <c r="X45" s="26" t="str">
        <f>IF($B45="","",IF(4&gt;Variables!$C$11,0,COUNTIFS(POS_Time,"&gt;="&amp;($C45+CONVERT(Variables!$C$12,"sec","day")),POS_Time,"&lt;="&amp;($D45-CONVERT(Variables!$C$12+1,"sec","day")),POS_Q,"=4")))</f>
        <v/>
      </c>
      <c r="Y45" s="26" t="str">
        <f>IF($B45="","",IF(5&gt;Variables!$C$11,0,COUNTIFS(POS_Time,"&gt;="&amp;($C45+CONVERT(Variables!$C$12,"sec","day")),POS_Time,"&lt;="&amp;($D45-CONVERT(Variables!$C$12+1,"sec","day")),POS_Q,"=5")))</f>
        <v/>
      </c>
      <c r="Z45" s="26" t="str">
        <f>IF($B45="","",IF(6&gt;Variables!$C$11,0,COUNTIFS(POS_Time,"&gt;="&amp;($C45+CONVERT(Variables!$C$12,"sec","day")),POS_Time,"&lt;="&amp;($D45-CONVERT(Variables!$C$12+1,"sec","day")),POS_Q,"=6")))</f>
        <v/>
      </c>
    </row>
    <row r="46" spans="1:26" x14ac:dyDescent="0.25">
      <c r="A46" s="2">
        <v>45</v>
      </c>
      <c r="B46" s="27" t="str">
        <f>IF((ROW()-1)&lt;=RoverStations,'Rover CSV Data'!B46,"")</f>
        <v/>
      </c>
      <c r="C46" s="28" t="str">
        <f>IF($B46="","",DATEVALUE(LEFT('Rover CSV Data'!F46,FIND(" ",'Rover CSV Data'!F46)-1))+TIMEVALUE(MID('Rover CSV Data'!F46,LEN('Rover CSV Data'!F46)-FIND(" ",'Rover CSV Data'!F46),(FIND(" UTC",'Rover CSV Data'!F46))-(LEN('Rover CSV Data'!F46)-FIND(" ",'Rover CSV Data'!F46)))))</f>
        <v/>
      </c>
      <c r="D46" s="28" t="str">
        <f>IF($B46="","",DATEVALUE(LEFT('Rover CSV Data'!G46,FIND(" ",'Rover CSV Data'!G46)-1))+TIMEVALUE(MID('Rover CSV Data'!G46,LEN('Rover CSV Data'!G46)-FIND(" ",'Rover CSV Data'!G46),(FIND(" UTC",'Rover CSV Data'!G46))-(LEN('Rover CSV Data'!G46)-FIND(" ",'Rover CSV Data'!G46)))))</f>
        <v/>
      </c>
      <c r="E46" s="29" t="str">
        <f t="shared" si="1"/>
        <v/>
      </c>
      <c r="F46" s="26" t="str">
        <f>IF($B46="","",'Rover CSV Data'!J46)</f>
        <v/>
      </c>
      <c r="G46" s="26" t="str">
        <f>IF($B46="","",AVERAGEIFS(POS_Lat,POS_Time,"&gt;="&amp;($C46+CONVERT(Variables!$C$12,"sec","day")),POS_Time,"&lt;="&amp;($D46-CONVERT(Variables!$C$12+1,"sec","day")),POS_Q,"&lt;="&amp;Variables!$C$11))</f>
        <v/>
      </c>
      <c r="H46" s="26" t="str">
        <f>IF($B46="","",AVERAGEIFS(POS_Long,POS_Time,"&gt;="&amp;($C46+CONVERT(Variables!$C$12,"sec","day")),POS_Time,"&lt;="&amp;($D46-CONVERT(Variables!$C$12+1,"sec","day")),POS_Q,"&lt;="&amp;Variables!$C$11))</f>
        <v/>
      </c>
      <c r="I46" s="30" t="str">
        <f>IF($B46="","",AVERAGEIFS(POS_elev,POS_Time,"&gt;="&amp;($C46+CONVERT(Variables!$C$12,"sec","day")),POS_Time,"&lt;="&amp;($D46-CONVERT(Variables!$C$12+1,"sec","day")),POS_Q,"&lt;="&amp;Variables!$C$11)-S46)</f>
        <v/>
      </c>
      <c r="J46" s="26" t="str">
        <f>IF($B46="","",'Rover CSV Data'!D46)</f>
        <v/>
      </c>
      <c r="K46" s="26" t="str">
        <f>IF($B46="","",'Rover CSV Data'!C46)</f>
        <v/>
      </c>
      <c r="L46" s="26" t="str">
        <f>IF($B46="","",'Rover CSV Data'!E46)</f>
        <v/>
      </c>
      <c r="M46" s="30" t="str">
        <f>IF($B46="","",AVERAGEIFS(sdn,POS_Time,"&gt;="&amp;($C46+CONVERT(Variables!$C$12,"sec","day")),POS_Time,"&lt;="&amp;($D46-CONVERT(Variables!$C$12+1,"sec","day")),POS_Q,"&lt;="&amp;Variables!$C$11))</f>
        <v/>
      </c>
      <c r="N46" s="31" t="str">
        <f>IF($B46="","",AVERAGEIFS(sde,POS_Time,"&gt;="&amp;($C46+CONVERT(Variables!$C$12,"sec","day")),POS_Time,"&lt;="&amp;($D46-CONVERT(Variables!$C$12+1,"sec","day")),POS_Q,"&lt;="&amp;Variables!$C$11))</f>
        <v/>
      </c>
      <c r="O46" s="31" t="str">
        <f>IF($B46="","",AVERAGEIFS(sdu,POS_Time,"&gt;="&amp;($C46+CONVERT(Variables!$C$12,"sec","day")),POS_Time,"&lt;="&amp;($D46-CONVERT(Variables!$C$12+1,"sec","day")),POS_Q,"&lt;="&amp;Variables!$C$11))</f>
        <v/>
      </c>
      <c r="P46" s="32" t="str">
        <f t="array" ref="P46">IF($B46="","",STDEV(IF(POS_Time&gt;=($C46+CONVERT(Variables!$C$12,"sec","day")),IF(POS_Time&lt;=($D46-CONVERT(Variables!$C$12+1,"sec","day")),IF(POS_Q&lt;=Variables!$C$11,POS_Lat)))))</f>
        <v/>
      </c>
      <c r="Q46" s="32" t="str">
        <f t="array" ref="Q46">IF($B46="","",STDEV(IF(POS_Time&gt;=($C46+CONVERT(Variables!$C$12,"sec","day")),IF(POS_Time&lt;=($D46-CONVERT(Variables!$C$12+1,"sec","day")),IF(POS_Q&lt;=Variables!$C$11,POS_Long)))))</f>
        <v/>
      </c>
      <c r="R46" s="32" t="str">
        <f t="array" ref="R46">IF($B46="","",STDEV(IF(POS_Time&gt;=($C46+CONVERT(Variables!$C$12,"sec","day")),IF(POS_Time&lt;=($D46-CONVERT(Variables!$C$12+1,"sec","day")),IF(POS_Q&lt;=Variables!$C$11,POS_elev)))))</f>
        <v/>
      </c>
      <c r="S46" s="30" t="str">
        <f>IF($B46="","",'Rover CSV Data'!K46)</f>
        <v/>
      </c>
      <c r="T46" s="26" t="str">
        <f>IF($B46="","",COUNTIFS(POS_Time,"&gt;="&amp;($C46+CONVERT(Variables!$C$12,"sec","day")),POS_Time,"&lt;="&amp;($D46-CONVERT(Variables!$C$12+1,"sec","day")),POS_Q,"&lt;="&amp;Variables!$C$11))</f>
        <v/>
      </c>
      <c r="U46" s="26" t="str">
        <f>IF($B46="","",IF(1&gt;Variables!$C$11,0,COUNTIFS(POS_Time,"&gt;="&amp;($C46+CONVERT(Variables!$C$12,"sec","day")),POS_Time,"&lt;="&amp;($D46-CONVERT(Variables!$C$12+1,"sec","day")),POS_Q,"=1")))</f>
        <v/>
      </c>
      <c r="V46" s="26" t="str">
        <f>IF($B46="","",IF(2&gt;Variables!$C$11,0,COUNTIFS(POS_Time,"&gt;="&amp;($C46+CONVERT(Variables!$C$12,"sec","day")),POS_Time,"&lt;="&amp;($D46-CONVERT(Variables!$C$12+1,"sec","day")),POS_Q,"=2")))</f>
        <v/>
      </c>
      <c r="W46" s="26" t="str">
        <f>IF($B46="","",IF(3&gt;Variables!$C$11,0,COUNTIFS(POS_Time,"&gt;="&amp;($C46+CONVERT(Variables!$C$12,"sec","day")),POS_Time,"&lt;="&amp;($D46-CONVERT(Variables!$C$12+1,"sec","day")),POS_Q,"=3")))</f>
        <v/>
      </c>
      <c r="X46" s="26" t="str">
        <f>IF($B46="","",IF(4&gt;Variables!$C$11,0,COUNTIFS(POS_Time,"&gt;="&amp;($C46+CONVERT(Variables!$C$12,"sec","day")),POS_Time,"&lt;="&amp;($D46-CONVERT(Variables!$C$12+1,"sec","day")),POS_Q,"=4")))</f>
        <v/>
      </c>
      <c r="Y46" s="26" t="str">
        <f>IF($B46="","",IF(5&gt;Variables!$C$11,0,COUNTIFS(POS_Time,"&gt;="&amp;($C46+CONVERT(Variables!$C$12,"sec","day")),POS_Time,"&lt;="&amp;($D46-CONVERT(Variables!$C$12+1,"sec","day")),POS_Q,"=5")))</f>
        <v/>
      </c>
      <c r="Z46" s="26" t="str">
        <f>IF($B46="","",IF(6&gt;Variables!$C$11,0,COUNTIFS(POS_Time,"&gt;="&amp;($C46+CONVERT(Variables!$C$12,"sec","day")),POS_Time,"&lt;="&amp;($D46-CONVERT(Variables!$C$12+1,"sec","day")),POS_Q,"=6")))</f>
        <v/>
      </c>
    </row>
    <row r="47" spans="1:26" x14ac:dyDescent="0.25">
      <c r="A47" s="2">
        <v>46</v>
      </c>
      <c r="B47" s="27" t="str">
        <f>IF((ROW()-1)&lt;=RoverStations,'Rover CSV Data'!B47,"")</f>
        <v/>
      </c>
      <c r="C47" s="28" t="str">
        <f>IF($B47="","",DATEVALUE(LEFT('Rover CSV Data'!F47,FIND(" ",'Rover CSV Data'!F47)-1))+TIMEVALUE(MID('Rover CSV Data'!F47,LEN('Rover CSV Data'!F47)-FIND(" ",'Rover CSV Data'!F47),(FIND(" UTC",'Rover CSV Data'!F47))-(LEN('Rover CSV Data'!F47)-FIND(" ",'Rover CSV Data'!F47)))))</f>
        <v/>
      </c>
      <c r="D47" s="28" t="str">
        <f>IF($B47="","",DATEVALUE(LEFT('Rover CSV Data'!G47,FIND(" ",'Rover CSV Data'!G47)-1))+TIMEVALUE(MID('Rover CSV Data'!G47,LEN('Rover CSV Data'!G47)-FIND(" ",'Rover CSV Data'!G47),(FIND(" UTC",'Rover CSV Data'!G47))-(LEN('Rover CSV Data'!G47)-FIND(" ",'Rover CSV Data'!G47)))))</f>
        <v/>
      </c>
      <c r="E47" s="29" t="str">
        <f t="shared" si="1"/>
        <v/>
      </c>
      <c r="F47" s="26" t="str">
        <f>IF($B47="","",'Rover CSV Data'!J47)</f>
        <v/>
      </c>
      <c r="G47" s="26" t="str">
        <f>IF($B47="","",AVERAGEIFS(POS_Lat,POS_Time,"&gt;="&amp;($C47+CONVERT(Variables!$C$12,"sec","day")),POS_Time,"&lt;="&amp;($D47-CONVERT(Variables!$C$12+1,"sec","day")),POS_Q,"&lt;="&amp;Variables!$C$11))</f>
        <v/>
      </c>
      <c r="H47" s="26" t="str">
        <f>IF($B47="","",AVERAGEIFS(POS_Long,POS_Time,"&gt;="&amp;($C47+CONVERT(Variables!$C$12,"sec","day")),POS_Time,"&lt;="&amp;($D47-CONVERT(Variables!$C$12+1,"sec","day")),POS_Q,"&lt;="&amp;Variables!$C$11))</f>
        <v/>
      </c>
      <c r="I47" s="30" t="str">
        <f>IF($B47="","",AVERAGEIFS(POS_elev,POS_Time,"&gt;="&amp;($C47+CONVERT(Variables!$C$12,"sec","day")),POS_Time,"&lt;="&amp;($D47-CONVERT(Variables!$C$12+1,"sec","day")),POS_Q,"&lt;="&amp;Variables!$C$11)-S47)</f>
        <v/>
      </c>
      <c r="J47" s="26" t="str">
        <f>IF($B47="","",'Rover CSV Data'!D47)</f>
        <v/>
      </c>
      <c r="K47" s="26" t="str">
        <f>IF($B47="","",'Rover CSV Data'!C47)</f>
        <v/>
      </c>
      <c r="L47" s="26" t="str">
        <f>IF($B47="","",'Rover CSV Data'!E47)</f>
        <v/>
      </c>
      <c r="M47" s="30" t="str">
        <f>IF($B47="","",AVERAGEIFS(sdn,POS_Time,"&gt;="&amp;($C47+CONVERT(Variables!$C$12,"sec","day")),POS_Time,"&lt;="&amp;($D47-CONVERT(Variables!$C$12+1,"sec","day")),POS_Q,"&lt;="&amp;Variables!$C$11))</f>
        <v/>
      </c>
      <c r="N47" s="31" t="str">
        <f>IF($B47="","",AVERAGEIFS(sde,POS_Time,"&gt;="&amp;($C47+CONVERT(Variables!$C$12,"sec","day")),POS_Time,"&lt;="&amp;($D47-CONVERT(Variables!$C$12+1,"sec","day")),POS_Q,"&lt;="&amp;Variables!$C$11))</f>
        <v/>
      </c>
      <c r="O47" s="31" t="str">
        <f>IF($B47="","",AVERAGEIFS(sdu,POS_Time,"&gt;="&amp;($C47+CONVERT(Variables!$C$12,"sec","day")),POS_Time,"&lt;="&amp;($D47-CONVERT(Variables!$C$12+1,"sec","day")),POS_Q,"&lt;="&amp;Variables!$C$11))</f>
        <v/>
      </c>
      <c r="P47" s="32" t="str">
        <f t="array" ref="P47">IF($B47="","",STDEV(IF(POS_Time&gt;=($C47+CONVERT(Variables!$C$12,"sec","day")),IF(POS_Time&lt;=($D47-CONVERT(Variables!$C$12+1,"sec","day")),IF(POS_Q&lt;=Variables!$C$11,POS_Lat)))))</f>
        <v/>
      </c>
      <c r="Q47" s="32" t="str">
        <f t="array" ref="Q47">IF($B47="","",STDEV(IF(POS_Time&gt;=($C47+CONVERT(Variables!$C$12,"sec","day")),IF(POS_Time&lt;=($D47-CONVERT(Variables!$C$12+1,"sec","day")),IF(POS_Q&lt;=Variables!$C$11,POS_Long)))))</f>
        <v/>
      </c>
      <c r="R47" s="32" t="str">
        <f t="array" ref="R47">IF($B47="","",STDEV(IF(POS_Time&gt;=($C47+CONVERT(Variables!$C$12,"sec","day")),IF(POS_Time&lt;=($D47-CONVERT(Variables!$C$12+1,"sec","day")),IF(POS_Q&lt;=Variables!$C$11,POS_elev)))))</f>
        <v/>
      </c>
      <c r="S47" s="30" t="str">
        <f>IF($B47="","",'Rover CSV Data'!K47)</f>
        <v/>
      </c>
      <c r="T47" s="26" t="str">
        <f>IF($B47="","",COUNTIFS(POS_Time,"&gt;="&amp;($C47+CONVERT(Variables!$C$12,"sec","day")),POS_Time,"&lt;="&amp;($D47-CONVERT(Variables!$C$12+1,"sec","day")),POS_Q,"&lt;="&amp;Variables!$C$11))</f>
        <v/>
      </c>
      <c r="U47" s="26" t="str">
        <f>IF($B47="","",IF(1&gt;Variables!$C$11,0,COUNTIFS(POS_Time,"&gt;="&amp;($C47+CONVERT(Variables!$C$12,"sec","day")),POS_Time,"&lt;="&amp;($D47-CONVERT(Variables!$C$12+1,"sec","day")),POS_Q,"=1")))</f>
        <v/>
      </c>
      <c r="V47" s="26" t="str">
        <f>IF($B47="","",IF(2&gt;Variables!$C$11,0,COUNTIFS(POS_Time,"&gt;="&amp;($C47+CONVERT(Variables!$C$12,"sec","day")),POS_Time,"&lt;="&amp;($D47-CONVERT(Variables!$C$12+1,"sec","day")),POS_Q,"=2")))</f>
        <v/>
      </c>
      <c r="W47" s="26" t="str">
        <f>IF($B47="","",IF(3&gt;Variables!$C$11,0,COUNTIFS(POS_Time,"&gt;="&amp;($C47+CONVERT(Variables!$C$12,"sec","day")),POS_Time,"&lt;="&amp;($D47-CONVERT(Variables!$C$12+1,"sec","day")),POS_Q,"=3")))</f>
        <v/>
      </c>
      <c r="X47" s="26" t="str">
        <f>IF($B47="","",IF(4&gt;Variables!$C$11,0,COUNTIFS(POS_Time,"&gt;="&amp;($C47+CONVERT(Variables!$C$12,"sec","day")),POS_Time,"&lt;="&amp;($D47-CONVERT(Variables!$C$12+1,"sec","day")),POS_Q,"=4")))</f>
        <v/>
      </c>
      <c r="Y47" s="26" t="str">
        <f>IF($B47="","",IF(5&gt;Variables!$C$11,0,COUNTIFS(POS_Time,"&gt;="&amp;($C47+CONVERT(Variables!$C$12,"sec","day")),POS_Time,"&lt;="&amp;($D47-CONVERT(Variables!$C$12+1,"sec","day")),POS_Q,"=5")))</f>
        <v/>
      </c>
      <c r="Z47" s="26" t="str">
        <f>IF($B47="","",IF(6&gt;Variables!$C$11,0,COUNTIFS(POS_Time,"&gt;="&amp;($C47+CONVERT(Variables!$C$12,"sec","day")),POS_Time,"&lt;="&amp;($D47-CONVERT(Variables!$C$12+1,"sec","day")),POS_Q,"=6")))</f>
        <v/>
      </c>
    </row>
    <row r="48" spans="1:26" x14ac:dyDescent="0.25">
      <c r="A48" s="2">
        <v>47</v>
      </c>
      <c r="B48" s="27" t="str">
        <f>IF((ROW()-1)&lt;=RoverStations,'Rover CSV Data'!B48,"")</f>
        <v/>
      </c>
      <c r="C48" s="28" t="str">
        <f>IF($B48="","",DATEVALUE(LEFT('Rover CSV Data'!F48,FIND(" ",'Rover CSV Data'!F48)-1))+TIMEVALUE(MID('Rover CSV Data'!F48,LEN('Rover CSV Data'!F48)-FIND(" ",'Rover CSV Data'!F48),(FIND(" UTC",'Rover CSV Data'!F48))-(LEN('Rover CSV Data'!F48)-FIND(" ",'Rover CSV Data'!F48)))))</f>
        <v/>
      </c>
      <c r="D48" s="28" t="str">
        <f>IF($B48="","",DATEVALUE(LEFT('Rover CSV Data'!G48,FIND(" ",'Rover CSV Data'!G48)-1))+TIMEVALUE(MID('Rover CSV Data'!G48,LEN('Rover CSV Data'!G48)-FIND(" ",'Rover CSV Data'!G48),(FIND(" UTC",'Rover CSV Data'!G48))-(LEN('Rover CSV Data'!G48)-FIND(" ",'Rover CSV Data'!G48)))))</f>
        <v/>
      </c>
      <c r="E48" s="29" t="str">
        <f t="shared" si="1"/>
        <v/>
      </c>
      <c r="F48" s="26" t="str">
        <f>IF($B48="","",'Rover CSV Data'!J48)</f>
        <v/>
      </c>
      <c r="G48" s="26" t="str">
        <f>IF($B48="","",AVERAGEIFS(POS_Lat,POS_Time,"&gt;="&amp;($C48+CONVERT(Variables!$C$12,"sec","day")),POS_Time,"&lt;="&amp;($D48-CONVERT(Variables!$C$12+1,"sec","day")),POS_Q,"&lt;="&amp;Variables!$C$11))</f>
        <v/>
      </c>
      <c r="H48" s="26" t="str">
        <f>IF($B48="","",AVERAGEIFS(POS_Long,POS_Time,"&gt;="&amp;($C48+CONVERT(Variables!$C$12,"sec","day")),POS_Time,"&lt;="&amp;($D48-CONVERT(Variables!$C$12+1,"sec","day")),POS_Q,"&lt;="&amp;Variables!$C$11))</f>
        <v/>
      </c>
      <c r="I48" s="30" t="str">
        <f>IF($B48="","",AVERAGEIFS(POS_elev,POS_Time,"&gt;="&amp;($C48+CONVERT(Variables!$C$12,"sec","day")),POS_Time,"&lt;="&amp;($D48-CONVERT(Variables!$C$12+1,"sec","day")),POS_Q,"&lt;="&amp;Variables!$C$11)-S48)</f>
        <v/>
      </c>
      <c r="J48" s="26" t="str">
        <f>IF($B48="","",'Rover CSV Data'!D48)</f>
        <v/>
      </c>
      <c r="K48" s="26" t="str">
        <f>IF($B48="","",'Rover CSV Data'!C48)</f>
        <v/>
      </c>
      <c r="L48" s="26" t="str">
        <f>IF($B48="","",'Rover CSV Data'!E48)</f>
        <v/>
      </c>
      <c r="M48" s="30" t="str">
        <f>IF($B48="","",AVERAGEIFS(sdn,POS_Time,"&gt;="&amp;($C48+CONVERT(Variables!$C$12,"sec","day")),POS_Time,"&lt;="&amp;($D48-CONVERT(Variables!$C$12+1,"sec","day")),POS_Q,"&lt;="&amp;Variables!$C$11))</f>
        <v/>
      </c>
      <c r="N48" s="31" t="str">
        <f>IF($B48="","",AVERAGEIFS(sde,POS_Time,"&gt;="&amp;($C48+CONVERT(Variables!$C$12,"sec","day")),POS_Time,"&lt;="&amp;($D48-CONVERT(Variables!$C$12+1,"sec","day")),POS_Q,"&lt;="&amp;Variables!$C$11))</f>
        <v/>
      </c>
      <c r="O48" s="31" t="str">
        <f>IF($B48="","",AVERAGEIFS(sdu,POS_Time,"&gt;="&amp;($C48+CONVERT(Variables!$C$12,"sec","day")),POS_Time,"&lt;="&amp;($D48-CONVERT(Variables!$C$12+1,"sec","day")),POS_Q,"&lt;="&amp;Variables!$C$11))</f>
        <v/>
      </c>
      <c r="P48" s="32" t="str">
        <f t="array" ref="P48">IF($B48="","",STDEV(IF(POS_Time&gt;=($C48+CONVERT(Variables!$C$12,"sec","day")),IF(POS_Time&lt;=($D48-CONVERT(Variables!$C$12+1,"sec","day")),IF(POS_Q&lt;=Variables!$C$11,POS_Lat)))))</f>
        <v/>
      </c>
      <c r="Q48" s="32" t="str">
        <f t="array" ref="Q48">IF($B48="","",STDEV(IF(POS_Time&gt;=($C48+CONVERT(Variables!$C$12,"sec","day")),IF(POS_Time&lt;=($D48-CONVERT(Variables!$C$12+1,"sec","day")),IF(POS_Q&lt;=Variables!$C$11,POS_Long)))))</f>
        <v/>
      </c>
      <c r="R48" s="32" t="str">
        <f t="array" ref="R48">IF($B48="","",STDEV(IF(POS_Time&gt;=($C48+CONVERT(Variables!$C$12,"sec","day")),IF(POS_Time&lt;=($D48-CONVERT(Variables!$C$12+1,"sec","day")),IF(POS_Q&lt;=Variables!$C$11,POS_elev)))))</f>
        <v/>
      </c>
      <c r="S48" s="30" t="str">
        <f>IF($B48="","",'Rover CSV Data'!K48)</f>
        <v/>
      </c>
      <c r="T48" s="26" t="str">
        <f>IF($B48="","",COUNTIFS(POS_Time,"&gt;="&amp;($C48+CONVERT(Variables!$C$12,"sec","day")),POS_Time,"&lt;="&amp;($D48-CONVERT(Variables!$C$12+1,"sec","day")),POS_Q,"&lt;="&amp;Variables!$C$11))</f>
        <v/>
      </c>
      <c r="U48" s="26" t="str">
        <f>IF($B48="","",IF(1&gt;Variables!$C$11,0,COUNTIFS(POS_Time,"&gt;="&amp;($C48+CONVERT(Variables!$C$12,"sec","day")),POS_Time,"&lt;="&amp;($D48-CONVERT(Variables!$C$12+1,"sec","day")),POS_Q,"=1")))</f>
        <v/>
      </c>
      <c r="V48" s="26" t="str">
        <f>IF($B48="","",IF(2&gt;Variables!$C$11,0,COUNTIFS(POS_Time,"&gt;="&amp;($C48+CONVERT(Variables!$C$12,"sec","day")),POS_Time,"&lt;="&amp;($D48-CONVERT(Variables!$C$12+1,"sec","day")),POS_Q,"=2")))</f>
        <v/>
      </c>
      <c r="W48" s="26" t="str">
        <f>IF($B48="","",IF(3&gt;Variables!$C$11,0,COUNTIFS(POS_Time,"&gt;="&amp;($C48+CONVERT(Variables!$C$12,"sec","day")),POS_Time,"&lt;="&amp;($D48-CONVERT(Variables!$C$12+1,"sec","day")),POS_Q,"=3")))</f>
        <v/>
      </c>
      <c r="X48" s="26" t="str">
        <f>IF($B48="","",IF(4&gt;Variables!$C$11,0,COUNTIFS(POS_Time,"&gt;="&amp;($C48+CONVERT(Variables!$C$12,"sec","day")),POS_Time,"&lt;="&amp;($D48-CONVERT(Variables!$C$12+1,"sec","day")),POS_Q,"=4")))</f>
        <v/>
      </c>
      <c r="Y48" s="26" t="str">
        <f>IF($B48="","",IF(5&gt;Variables!$C$11,0,COUNTIFS(POS_Time,"&gt;="&amp;($C48+CONVERT(Variables!$C$12,"sec","day")),POS_Time,"&lt;="&amp;($D48-CONVERT(Variables!$C$12+1,"sec","day")),POS_Q,"=5")))</f>
        <v/>
      </c>
      <c r="Z48" s="26" t="str">
        <f>IF($B48="","",IF(6&gt;Variables!$C$11,0,COUNTIFS(POS_Time,"&gt;="&amp;($C48+CONVERT(Variables!$C$12,"sec","day")),POS_Time,"&lt;="&amp;($D48-CONVERT(Variables!$C$12+1,"sec","day")),POS_Q,"=6")))</f>
        <v/>
      </c>
    </row>
    <row r="49" spans="1:26" x14ac:dyDescent="0.25">
      <c r="A49" s="2">
        <v>48</v>
      </c>
      <c r="B49" s="27" t="str">
        <f>IF((ROW()-1)&lt;=RoverStations,'Rover CSV Data'!B49,"")</f>
        <v/>
      </c>
      <c r="C49" s="28" t="str">
        <f>IF($B49="","",DATEVALUE(LEFT('Rover CSV Data'!F49,FIND(" ",'Rover CSV Data'!F49)-1))+TIMEVALUE(MID('Rover CSV Data'!F49,LEN('Rover CSV Data'!F49)-FIND(" ",'Rover CSV Data'!F49),(FIND(" UTC",'Rover CSV Data'!F49))-(LEN('Rover CSV Data'!F49)-FIND(" ",'Rover CSV Data'!F49)))))</f>
        <v/>
      </c>
      <c r="D49" s="28" t="str">
        <f>IF($B49="","",DATEVALUE(LEFT('Rover CSV Data'!G49,FIND(" ",'Rover CSV Data'!G49)-1))+TIMEVALUE(MID('Rover CSV Data'!G49,LEN('Rover CSV Data'!G49)-FIND(" ",'Rover CSV Data'!G49),(FIND(" UTC",'Rover CSV Data'!G49))-(LEN('Rover CSV Data'!G49)-FIND(" ",'Rover CSV Data'!G49)))))</f>
        <v/>
      </c>
      <c r="E49" s="29" t="str">
        <f t="shared" si="1"/>
        <v/>
      </c>
      <c r="F49" s="26" t="str">
        <f>IF($B49="","",'Rover CSV Data'!J49)</f>
        <v/>
      </c>
      <c r="G49" s="26" t="str">
        <f>IF($B49="","",AVERAGEIFS(POS_Lat,POS_Time,"&gt;="&amp;($C49+CONVERT(Variables!$C$12,"sec","day")),POS_Time,"&lt;="&amp;($D49-CONVERT(Variables!$C$12+1,"sec","day")),POS_Q,"&lt;="&amp;Variables!$C$11))</f>
        <v/>
      </c>
      <c r="H49" s="26" t="str">
        <f>IF($B49="","",AVERAGEIFS(POS_Long,POS_Time,"&gt;="&amp;($C49+CONVERT(Variables!$C$12,"sec","day")),POS_Time,"&lt;="&amp;($D49-CONVERT(Variables!$C$12+1,"sec","day")),POS_Q,"&lt;="&amp;Variables!$C$11))</f>
        <v/>
      </c>
      <c r="I49" s="30" t="str">
        <f>IF($B49="","",AVERAGEIFS(POS_elev,POS_Time,"&gt;="&amp;($C49+CONVERT(Variables!$C$12,"sec","day")),POS_Time,"&lt;="&amp;($D49-CONVERT(Variables!$C$12+1,"sec","day")),POS_Q,"&lt;="&amp;Variables!$C$11)-S49)</f>
        <v/>
      </c>
      <c r="J49" s="26" t="str">
        <f>IF($B49="","",'Rover CSV Data'!D49)</f>
        <v/>
      </c>
      <c r="K49" s="26" t="str">
        <f>IF($B49="","",'Rover CSV Data'!C49)</f>
        <v/>
      </c>
      <c r="L49" s="26" t="str">
        <f>IF($B49="","",'Rover CSV Data'!E49)</f>
        <v/>
      </c>
      <c r="M49" s="30" t="str">
        <f>IF($B49="","",AVERAGEIFS(sdn,POS_Time,"&gt;="&amp;($C49+CONVERT(Variables!$C$12,"sec","day")),POS_Time,"&lt;="&amp;($D49-CONVERT(Variables!$C$12+1,"sec","day")),POS_Q,"&lt;="&amp;Variables!$C$11))</f>
        <v/>
      </c>
      <c r="N49" s="31" t="str">
        <f>IF($B49="","",AVERAGEIFS(sde,POS_Time,"&gt;="&amp;($C49+CONVERT(Variables!$C$12,"sec","day")),POS_Time,"&lt;="&amp;($D49-CONVERT(Variables!$C$12+1,"sec","day")),POS_Q,"&lt;="&amp;Variables!$C$11))</f>
        <v/>
      </c>
      <c r="O49" s="31" t="str">
        <f>IF($B49="","",AVERAGEIFS(sdu,POS_Time,"&gt;="&amp;($C49+CONVERT(Variables!$C$12,"sec","day")),POS_Time,"&lt;="&amp;($D49-CONVERT(Variables!$C$12+1,"sec","day")),POS_Q,"&lt;="&amp;Variables!$C$11))</f>
        <v/>
      </c>
      <c r="P49" s="32" t="str">
        <f t="array" ref="P49">IF($B49="","",STDEV(IF(POS_Time&gt;=($C49+CONVERT(Variables!$C$12,"sec","day")),IF(POS_Time&lt;=($D49-CONVERT(Variables!$C$12+1,"sec","day")),IF(POS_Q&lt;=Variables!$C$11,POS_Lat)))))</f>
        <v/>
      </c>
      <c r="Q49" s="32" t="str">
        <f t="array" ref="Q49">IF($B49="","",STDEV(IF(POS_Time&gt;=($C49+CONVERT(Variables!$C$12,"sec","day")),IF(POS_Time&lt;=($D49-CONVERT(Variables!$C$12+1,"sec","day")),IF(POS_Q&lt;=Variables!$C$11,POS_Long)))))</f>
        <v/>
      </c>
      <c r="R49" s="32" t="str">
        <f t="array" ref="R49">IF($B49="","",STDEV(IF(POS_Time&gt;=($C49+CONVERT(Variables!$C$12,"sec","day")),IF(POS_Time&lt;=($D49-CONVERT(Variables!$C$12+1,"sec","day")),IF(POS_Q&lt;=Variables!$C$11,POS_elev)))))</f>
        <v/>
      </c>
      <c r="S49" s="30" t="str">
        <f>IF($B49="","",'Rover CSV Data'!K49)</f>
        <v/>
      </c>
      <c r="T49" s="26" t="str">
        <f>IF($B49="","",COUNTIFS(POS_Time,"&gt;="&amp;($C49+CONVERT(Variables!$C$12,"sec","day")),POS_Time,"&lt;="&amp;($D49-CONVERT(Variables!$C$12+1,"sec","day")),POS_Q,"&lt;="&amp;Variables!$C$11))</f>
        <v/>
      </c>
      <c r="U49" s="26" t="str">
        <f>IF($B49="","",IF(1&gt;Variables!$C$11,0,COUNTIFS(POS_Time,"&gt;="&amp;($C49+CONVERT(Variables!$C$12,"sec","day")),POS_Time,"&lt;="&amp;($D49-CONVERT(Variables!$C$12+1,"sec","day")),POS_Q,"=1")))</f>
        <v/>
      </c>
      <c r="V49" s="26" t="str">
        <f>IF($B49="","",IF(2&gt;Variables!$C$11,0,COUNTIFS(POS_Time,"&gt;="&amp;($C49+CONVERT(Variables!$C$12,"sec","day")),POS_Time,"&lt;="&amp;($D49-CONVERT(Variables!$C$12+1,"sec","day")),POS_Q,"=2")))</f>
        <v/>
      </c>
      <c r="W49" s="26" t="str">
        <f>IF($B49="","",IF(3&gt;Variables!$C$11,0,COUNTIFS(POS_Time,"&gt;="&amp;($C49+CONVERT(Variables!$C$12,"sec","day")),POS_Time,"&lt;="&amp;($D49-CONVERT(Variables!$C$12+1,"sec","day")),POS_Q,"=3")))</f>
        <v/>
      </c>
      <c r="X49" s="26" t="str">
        <f>IF($B49="","",IF(4&gt;Variables!$C$11,0,COUNTIFS(POS_Time,"&gt;="&amp;($C49+CONVERT(Variables!$C$12,"sec","day")),POS_Time,"&lt;="&amp;($D49-CONVERT(Variables!$C$12+1,"sec","day")),POS_Q,"=4")))</f>
        <v/>
      </c>
      <c r="Y49" s="26" t="str">
        <f>IF($B49="","",IF(5&gt;Variables!$C$11,0,COUNTIFS(POS_Time,"&gt;="&amp;($C49+CONVERT(Variables!$C$12,"sec","day")),POS_Time,"&lt;="&amp;($D49-CONVERT(Variables!$C$12+1,"sec","day")),POS_Q,"=5")))</f>
        <v/>
      </c>
      <c r="Z49" s="26" t="str">
        <f>IF($B49="","",IF(6&gt;Variables!$C$11,0,COUNTIFS(POS_Time,"&gt;="&amp;($C49+CONVERT(Variables!$C$12,"sec","day")),POS_Time,"&lt;="&amp;($D49-CONVERT(Variables!$C$12+1,"sec","day")),POS_Q,"=6")))</f>
        <v/>
      </c>
    </row>
    <row r="50" spans="1:26" x14ac:dyDescent="0.25">
      <c r="A50" s="2">
        <v>49</v>
      </c>
      <c r="B50" s="27" t="str">
        <f>IF((ROW()-1)&lt;=RoverStations,'Rover CSV Data'!B50,"")</f>
        <v/>
      </c>
      <c r="C50" s="28" t="str">
        <f>IF($B50="","",DATEVALUE(LEFT('Rover CSV Data'!F50,FIND(" ",'Rover CSV Data'!F50)-1))+TIMEVALUE(MID('Rover CSV Data'!F50,LEN('Rover CSV Data'!F50)-FIND(" ",'Rover CSV Data'!F50),(FIND(" UTC",'Rover CSV Data'!F50))-(LEN('Rover CSV Data'!F50)-FIND(" ",'Rover CSV Data'!F50)))))</f>
        <v/>
      </c>
      <c r="D50" s="28" t="str">
        <f>IF($B50="","",DATEVALUE(LEFT('Rover CSV Data'!G50,FIND(" ",'Rover CSV Data'!G50)-1))+TIMEVALUE(MID('Rover CSV Data'!G50,LEN('Rover CSV Data'!G50)-FIND(" ",'Rover CSV Data'!G50),(FIND(" UTC",'Rover CSV Data'!G50))-(LEN('Rover CSV Data'!G50)-FIND(" ",'Rover CSV Data'!G50)))))</f>
        <v/>
      </c>
      <c r="E50" s="29" t="str">
        <f t="shared" si="1"/>
        <v/>
      </c>
      <c r="F50" s="26" t="str">
        <f>IF($B50="","",'Rover CSV Data'!J50)</f>
        <v/>
      </c>
      <c r="G50" s="26" t="str">
        <f>IF($B50="","",AVERAGEIFS(POS_Lat,POS_Time,"&gt;="&amp;($C50+CONVERT(Variables!$C$12,"sec","day")),POS_Time,"&lt;="&amp;($D50-CONVERT(Variables!$C$12+1,"sec","day")),POS_Q,"&lt;="&amp;Variables!$C$11))</f>
        <v/>
      </c>
      <c r="H50" s="26" t="str">
        <f>IF($B50="","",AVERAGEIFS(POS_Long,POS_Time,"&gt;="&amp;($C50+CONVERT(Variables!$C$12,"sec","day")),POS_Time,"&lt;="&amp;($D50-CONVERT(Variables!$C$12+1,"sec","day")),POS_Q,"&lt;="&amp;Variables!$C$11))</f>
        <v/>
      </c>
      <c r="I50" s="30" t="str">
        <f>IF($B50="","",AVERAGEIFS(POS_elev,POS_Time,"&gt;="&amp;($C50+CONVERT(Variables!$C$12,"sec","day")),POS_Time,"&lt;="&amp;($D50-CONVERT(Variables!$C$12+1,"sec","day")),POS_Q,"&lt;="&amp;Variables!$C$11)-S50)</f>
        <v/>
      </c>
      <c r="J50" s="26" t="str">
        <f>IF($B50="","",'Rover CSV Data'!D50)</f>
        <v/>
      </c>
      <c r="K50" s="26" t="str">
        <f>IF($B50="","",'Rover CSV Data'!C50)</f>
        <v/>
      </c>
      <c r="L50" s="26" t="str">
        <f>IF($B50="","",'Rover CSV Data'!E50)</f>
        <v/>
      </c>
      <c r="M50" s="30" t="str">
        <f>IF($B50="","",AVERAGEIFS(sdn,POS_Time,"&gt;="&amp;($C50+CONVERT(Variables!$C$12,"sec","day")),POS_Time,"&lt;="&amp;($D50-CONVERT(Variables!$C$12+1,"sec","day")),POS_Q,"&lt;="&amp;Variables!$C$11))</f>
        <v/>
      </c>
      <c r="N50" s="31" t="str">
        <f>IF($B50="","",AVERAGEIFS(sde,POS_Time,"&gt;="&amp;($C50+CONVERT(Variables!$C$12,"sec","day")),POS_Time,"&lt;="&amp;($D50-CONVERT(Variables!$C$12+1,"sec","day")),POS_Q,"&lt;="&amp;Variables!$C$11))</f>
        <v/>
      </c>
      <c r="O50" s="31" t="str">
        <f>IF($B50="","",AVERAGEIFS(sdu,POS_Time,"&gt;="&amp;($C50+CONVERT(Variables!$C$12,"sec","day")),POS_Time,"&lt;="&amp;($D50-CONVERT(Variables!$C$12+1,"sec","day")),POS_Q,"&lt;="&amp;Variables!$C$11))</f>
        <v/>
      </c>
      <c r="P50" s="32" t="str">
        <f t="array" ref="P50">IF($B50="","",STDEV(IF(POS_Time&gt;=($C50+CONVERT(Variables!$C$12,"sec","day")),IF(POS_Time&lt;=($D50-CONVERT(Variables!$C$12+1,"sec","day")),IF(POS_Q&lt;=Variables!$C$11,POS_Lat)))))</f>
        <v/>
      </c>
      <c r="Q50" s="32" t="str">
        <f t="array" ref="Q50">IF($B50="","",STDEV(IF(POS_Time&gt;=($C50+CONVERT(Variables!$C$12,"sec","day")),IF(POS_Time&lt;=($D50-CONVERT(Variables!$C$12+1,"sec","day")),IF(POS_Q&lt;=Variables!$C$11,POS_Long)))))</f>
        <v/>
      </c>
      <c r="R50" s="32" t="str">
        <f t="array" ref="R50">IF($B50="","",STDEV(IF(POS_Time&gt;=($C50+CONVERT(Variables!$C$12,"sec","day")),IF(POS_Time&lt;=($D50-CONVERT(Variables!$C$12+1,"sec","day")),IF(POS_Q&lt;=Variables!$C$11,POS_elev)))))</f>
        <v/>
      </c>
      <c r="S50" s="30" t="str">
        <f>IF($B50="","",'Rover CSV Data'!K50)</f>
        <v/>
      </c>
      <c r="T50" s="26" t="str">
        <f>IF($B50="","",COUNTIFS(POS_Time,"&gt;="&amp;($C50+CONVERT(Variables!$C$12,"sec","day")),POS_Time,"&lt;="&amp;($D50-CONVERT(Variables!$C$12+1,"sec","day")),POS_Q,"&lt;="&amp;Variables!$C$11))</f>
        <v/>
      </c>
      <c r="U50" s="26" t="str">
        <f>IF($B50="","",IF(1&gt;Variables!$C$11,0,COUNTIFS(POS_Time,"&gt;="&amp;($C50+CONVERT(Variables!$C$12,"sec","day")),POS_Time,"&lt;="&amp;($D50-CONVERT(Variables!$C$12+1,"sec","day")),POS_Q,"=1")))</f>
        <v/>
      </c>
      <c r="V50" s="26" t="str">
        <f>IF($B50="","",IF(2&gt;Variables!$C$11,0,COUNTIFS(POS_Time,"&gt;="&amp;($C50+CONVERT(Variables!$C$12,"sec","day")),POS_Time,"&lt;="&amp;($D50-CONVERT(Variables!$C$12+1,"sec","day")),POS_Q,"=2")))</f>
        <v/>
      </c>
      <c r="W50" s="26" t="str">
        <f>IF($B50="","",IF(3&gt;Variables!$C$11,0,COUNTIFS(POS_Time,"&gt;="&amp;($C50+CONVERT(Variables!$C$12,"sec","day")),POS_Time,"&lt;="&amp;($D50-CONVERT(Variables!$C$12+1,"sec","day")),POS_Q,"=3")))</f>
        <v/>
      </c>
      <c r="X50" s="26" t="str">
        <f>IF($B50="","",IF(4&gt;Variables!$C$11,0,COUNTIFS(POS_Time,"&gt;="&amp;($C50+CONVERT(Variables!$C$12,"sec","day")),POS_Time,"&lt;="&amp;($D50-CONVERT(Variables!$C$12+1,"sec","day")),POS_Q,"=4")))</f>
        <v/>
      </c>
      <c r="Y50" s="26" t="str">
        <f>IF($B50="","",IF(5&gt;Variables!$C$11,0,COUNTIFS(POS_Time,"&gt;="&amp;($C50+CONVERT(Variables!$C$12,"sec","day")),POS_Time,"&lt;="&amp;($D50-CONVERT(Variables!$C$12+1,"sec","day")),POS_Q,"=5")))</f>
        <v/>
      </c>
      <c r="Z50" s="26" t="str">
        <f>IF($B50="","",IF(6&gt;Variables!$C$11,0,COUNTIFS(POS_Time,"&gt;="&amp;($C50+CONVERT(Variables!$C$12,"sec","day")),POS_Time,"&lt;="&amp;($D50-CONVERT(Variables!$C$12+1,"sec","day")),POS_Q,"=6")))</f>
        <v/>
      </c>
    </row>
    <row r="51" spans="1:26" x14ac:dyDescent="0.25">
      <c r="A51" s="2">
        <v>50</v>
      </c>
      <c r="B51" s="27" t="str">
        <f>IF((ROW()-1)&lt;=RoverStations,'Rover CSV Data'!B51,"")</f>
        <v/>
      </c>
      <c r="C51" s="28" t="str">
        <f>IF($B51="","",DATEVALUE(LEFT('Rover CSV Data'!F51,FIND(" ",'Rover CSV Data'!F51)-1))+TIMEVALUE(MID('Rover CSV Data'!F51,LEN('Rover CSV Data'!F51)-FIND(" ",'Rover CSV Data'!F51),(FIND(" UTC",'Rover CSV Data'!F51))-(LEN('Rover CSV Data'!F51)-FIND(" ",'Rover CSV Data'!F51)))))</f>
        <v/>
      </c>
      <c r="D51" s="28" t="str">
        <f>IF($B51="","",DATEVALUE(LEFT('Rover CSV Data'!G51,FIND(" ",'Rover CSV Data'!G51)-1))+TIMEVALUE(MID('Rover CSV Data'!G51,LEN('Rover CSV Data'!G51)-FIND(" ",'Rover CSV Data'!G51),(FIND(" UTC",'Rover CSV Data'!G51))-(LEN('Rover CSV Data'!G51)-FIND(" ",'Rover CSV Data'!G51)))))</f>
        <v/>
      </c>
      <c r="E51" s="29" t="str">
        <f t="shared" si="1"/>
        <v/>
      </c>
      <c r="F51" s="26" t="str">
        <f>IF($B51="","",'Rover CSV Data'!J51)</f>
        <v/>
      </c>
      <c r="G51" s="26" t="str">
        <f>IF($B51="","",AVERAGEIFS(POS_Lat,POS_Time,"&gt;="&amp;($C51+CONVERT(Variables!$C$12,"sec","day")),POS_Time,"&lt;="&amp;($D51-CONVERT(Variables!$C$12+1,"sec","day")),POS_Q,"&lt;="&amp;Variables!$C$11))</f>
        <v/>
      </c>
      <c r="H51" s="26" t="str">
        <f>IF($B51="","",AVERAGEIFS(POS_Long,POS_Time,"&gt;="&amp;($C51+CONVERT(Variables!$C$12,"sec","day")),POS_Time,"&lt;="&amp;($D51-CONVERT(Variables!$C$12+1,"sec","day")),POS_Q,"&lt;="&amp;Variables!$C$11))</f>
        <v/>
      </c>
      <c r="I51" s="30" t="str">
        <f>IF($B51="","",AVERAGEIFS(POS_elev,POS_Time,"&gt;="&amp;($C51+CONVERT(Variables!$C$12,"sec","day")),POS_Time,"&lt;="&amp;($D51-CONVERT(Variables!$C$12+1,"sec","day")),POS_Q,"&lt;="&amp;Variables!$C$11)-S51)</f>
        <v/>
      </c>
      <c r="J51" s="26" t="str">
        <f>IF($B51="","",'Rover CSV Data'!D51)</f>
        <v/>
      </c>
      <c r="K51" s="26" t="str">
        <f>IF($B51="","",'Rover CSV Data'!C51)</f>
        <v/>
      </c>
      <c r="L51" s="26" t="str">
        <f>IF($B51="","",'Rover CSV Data'!E51)</f>
        <v/>
      </c>
      <c r="M51" s="30" t="str">
        <f>IF($B51="","",AVERAGEIFS(sdn,POS_Time,"&gt;="&amp;($C51+CONVERT(Variables!$C$12,"sec","day")),POS_Time,"&lt;="&amp;($D51-CONVERT(Variables!$C$12+1,"sec","day")),POS_Q,"&lt;="&amp;Variables!$C$11))</f>
        <v/>
      </c>
      <c r="N51" s="31" t="str">
        <f>IF($B51="","",AVERAGEIFS(sde,POS_Time,"&gt;="&amp;($C51+CONVERT(Variables!$C$12,"sec","day")),POS_Time,"&lt;="&amp;($D51-CONVERT(Variables!$C$12+1,"sec","day")),POS_Q,"&lt;="&amp;Variables!$C$11))</f>
        <v/>
      </c>
      <c r="O51" s="31" t="str">
        <f>IF($B51="","",AVERAGEIFS(sdu,POS_Time,"&gt;="&amp;($C51+CONVERT(Variables!$C$12,"sec","day")),POS_Time,"&lt;="&amp;($D51-CONVERT(Variables!$C$12+1,"sec","day")),POS_Q,"&lt;="&amp;Variables!$C$11))</f>
        <v/>
      </c>
      <c r="P51" s="32" t="str">
        <f t="array" ref="P51">IF($B51="","",STDEV(IF(POS_Time&gt;=($C51+CONVERT(Variables!$C$12,"sec","day")),IF(POS_Time&lt;=($D51-CONVERT(Variables!$C$12+1,"sec","day")),IF(POS_Q&lt;=Variables!$C$11,POS_Lat)))))</f>
        <v/>
      </c>
      <c r="Q51" s="32" t="str">
        <f t="array" ref="Q51">IF($B51="","",STDEV(IF(POS_Time&gt;=($C51+CONVERT(Variables!$C$12,"sec","day")),IF(POS_Time&lt;=($D51-CONVERT(Variables!$C$12+1,"sec","day")),IF(POS_Q&lt;=Variables!$C$11,POS_Long)))))</f>
        <v/>
      </c>
      <c r="R51" s="32" t="str">
        <f t="array" ref="R51">IF($B51="","",STDEV(IF(POS_Time&gt;=($C51+CONVERT(Variables!$C$12,"sec","day")),IF(POS_Time&lt;=($D51-CONVERT(Variables!$C$12+1,"sec","day")),IF(POS_Q&lt;=Variables!$C$11,POS_elev)))))</f>
        <v/>
      </c>
      <c r="S51" s="30" t="str">
        <f>IF($B51="","",'Rover CSV Data'!K51)</f>
        <v/>
      </c>
      <c r="T51" s="26" t="str">
        <f>IF($B51="","",COUNTIFS(POS_Time,"&gt;="&amp;($C51+CONVERT(Variables!$C$12,"sec","day")),POS_Time,"&lt;="&amp;($D51-CONVERT(Variables!$C$12+1,"sec","day")),POS_Q,"&lt;="&amp;Variables!$C$11))</f>
        <v/>
      </c>
      <c r="U51" s="26" t="str">
        <f>IF($B51="","",IF(1&gt;Variables!$C$11,0,COUNTIFS(POS_Time,"&gt;="&amp;($C51+CONVERT(Variables!$C$12,"sec","day")),POS_Time,"&lt;="&amp;($D51-CONVERT(Variables!$C$12+1,"sec","day")),POS_Q,"=1")))</f>
        <v/>
      </c>
      <c r="V51" s="26" t="str">
        <f>IF($B51="","",IF(2&gt;Variables!$C$11,0,COUNTIFS(POS_Time,"&gt;="&amp;($C51+CONVERT(Variables!$C$12,"sec","day")),POS_Time,"&lt;="&amp;($D51-CONVERT(Variables!$C$12+1,"sec","day")),POS_Q,"=2")))</f>
        <v/>
      </c>
      <c r="W51" s="26" t="str">
        <f>IF($B51="","",IF(3&gt;Variables!$C$11,0,COUNTIFS(POS_Time,"&gt;="&amp;($C51+CONVERT(Variables!$C$12,"sec","day")),POS_Time,"&lt;="&amp;($D51-CONVERT(Variables!$C$12+1,"sec","day")),POS_Q,"=3")))</f>
        <v/>
      </c>
      <c r="X51" s="26" t="str">
        <f>IF($B51="","",IF(4&gt;Variables!$C$11,0,COUNTIFS(POS_Time,"&gt;="&amp;($C51+CONVERT(Variables!$C$12,"sec","day")),POS_Time,"&lt;="&amp;($D51-CONVERT(Variables!$C$12+1,"sec","day")),POS_Q,"=4")))</f>
        <v/>
      </c>
      <c r="Y51" s="26" t="str">
        <f>IF($B51="","",IF(5&gt;Variables!$C$11,0,COUNTIFS(POS_Time,"&gt;="&amp;($C51+CONVERT(Variables!$C$12,"sec","day")),POS_Time,"&lt;="&amp;($D51-CONVERT(Variables!$C$12+1,"sec","day")),POS_Q,"=5")))</f>
        <v/>
      </c>
      <c r="Z51" s="26" t="str">
        <f>IF($B51="","",IF(6&gt;Variables!$C$11,0,COUNTIFS(POS_Time,"&gt;="&amp;($C51+CONVERT(Variables!$C$12,"sec","day")),POS_Time,"&lt;="&amp;($D51-CONVERT(Variables!$C$12+1,"sec","day")),POS_Q,"=6")))</f>
        <v/>
      </c>
    </row>
    <row r="52" spans="1:26" x14ac:dyDescent="0.25">
      <c r="A52" s="2">
        <v>51</v>
      </c>
      <c r="B52" s="27" t="str">
        <f>IF((ROW()-1)&lt;=RoverStations,'Rover CSV Data'!B52,"")</f>
        <v/>
      </c>
      <c r="C52" s="28" t="str">
        <f>IF($B52="","",DATEVALUE(LEFT('Rover CSV Data'!F52,FIND(" ",'Rover CSV Data'!F52)-1))+TIMEVALUE(MID('Rover CSV Data'!F52,LEN('Rover CSV Data'!F52)-FIND(" ",'Rover CSV Data'!F52),(FIND(" UTC",'Rover CSV Data'!F52))-(LEN('Rover CSV Data'!F52)-FIND(" ",'Rover CSV Data'!F52)))))</f>
        <v/>
      </c>
      <c r="D52" s="28" t="str">
        <f>IF($B52="","",DATEVALUE(LEFT('Rover CSV Data'!G52,FIND(" ",'Rover CSV Data'!G52)-1))+TIMEVALUE(MID('Rover CSV Data'!G52,LEN('Rover CSV Data'!G52)-FIND(" ",'Rover CSV Data'!G52),(FIND(" UTC",'Rover CSV Data'!G52))-(LEN('Rover CSV Data'!G52)-FIND(" ",'Rover CSV Data'!G52)))))</f>
        <v/>
      </c>
      <c r="E52" s="29" t="str">
        <f t="shared" si="1"/>
        <v/>
      </c>
      <c r="F52" s="26" t="str">
        <f>IF($B52="","",'Rover CSV Data'!J52)</f>
        <v/>
      </c>
      <c r="G52" s="26" t="str">
        <f>IF($B52="","",AVERAGEIFS(POS_Lat,POS_Time,"&gt;="&amp;($C52+CONVERT(Variables!$C$12,"sec","day")),POS_Time,"&lt;="&amp;($D52-CONVERT(Variables!$C$12+1,"sec","day")),POS_Q,"&lt;="&amp;Variables!$C$11))</f>
        <v/>
      </c>
      <c r="H52" s="26" t="str">
        <f>IF($B52="","",AVERAGEIFS(POS_Long,POS_Time,"&gt;="&amp;($C52+CONVERT(Variables!$C$12,"sec","day")),POS_Time,"&lt;="&amp;($D52-CONVERT(Variables!$C$12+1,"sec","day")),POS_Q,"&lt;="&amp;Variables!$C$11))</f>
        <v/>
      </c>
      <c r="I52" s="30" t="str">
        <f>IF($B52="","",AVERAGEIFS(POS_elev,POS_Time,"&gt;="&amp;($C52+CONVERT(Variables!$C$12,"sec","day")),POS_Time,"&lt;="&amp;($D52-CONVERT(Variables!$C$12+1,"sec","day")),POS_Q,"&lt;="&amp;Variables!$C$11)-S52)</f>
        <v/>
      </c>
      <c r="J52" s="26" t="str">
        <f>IF($B52="","",'Rover CSV Data'!D52)</f>
        <v/>
      </c>
      <c r="K52" s="26" t="str">
        <f>IF($B52="","",'Rover CSV Data'!C52)</f>
        <v/>
      </c>
      <c r="L52" s="26" t="str">
        <f>IF($B52="","",'Rover CSV Data'!E52)</f>
        <v/>
      </c>
      <c r="M52" s="30" t="str">
        <f>IF($B52="","",AVERAGEIFS(sdn,POS_Time,"&gt;="&amp;($C52+CONVERT(Variables!$C$12,"sec","day")),POS_Time,"&lt;="&amp;($D52-CONVERT(Variables!$C$12+1,"sec","day")),POS_Q,"&lt;="&amp;Variables!$C$11))</f>
        <v/>
      </c>
      <c r="N52" s="31" t="str">
        <f>IF($B52="","",AVERAGEIFS(sde,POS_Time,"&gt;="&amp;($C52+CONVERT(Variables!$C$12,"sec","day")),POS_Time,"&lt;="&amp;($D52-CONVERT(Variables!$C$12+1,"sec","day")),POS_Q,"&lt;="&amp;Variables!$C$11))</f>
        <v/>
      </c>
      <c r="O52" s="31" t="str">
        <f>IF($B52="","",AVERAGEIFS(sdu,POS_Time,"&gt;="&amp;($C52+CONVERT(Variables!$C$12,"sec","day")),POS_Time,"&lt;="&amp;($D52-CONVERT(Variables!$C$12+1,"sec","day")),POS_Q,"&lt;="&amp;Variables!$C$11))</f>
        <v/>
      </c>
      <c r="P52" s="32" t="str">
        <f t="array" ref="P52">IF($B52="","",STDEV(IF(POS_Time&gt;=($C52+CONVERT(Variables!$C$12,"sec","day")),IF(POS_Time&lt;=($D52-CONVERT(Variables!$C$12+1,"sec","day")),IF(POS_Q&lt;=Variables!$C$11,POS_Lat)))))</f>
        <v/>
      </c>
      <c r="Q52" s="32" t="str">
        <f t="array" ref="Q52">IF($B52="","",STDEV(IF(POS_Time&gt;=($C52+CONVERT(Variables!$C$12,"sec","day")),IF(POS_Time&lt;=($D52-CONVERT(Variables!$C$12+1,"sec","day")),IF(POS_Q&lt;=Variables!$C$11,POS_Long)))))</f>
        <v/>
      </c>
      <c r="R52" s="32" t="str">
        <f t="array" ref="R52">IF($B52="","",STDEV(IF(POS_Time&gt;=($C52+CONVERT(Variables!$C$12,"sec","day")),IF(POS_Time&lt;=($D52-CONVERT(Variables!$C$12+1,"sec","day")),IF(POS_Q&lt;=Variables!$C$11,POS_elev)))))</f>
        <v/>
      </c>
      <c r="S52" s="30" t="str">
        <f>IF($B52="","",'Rover CSV Data'!K52)</f>
        <v/>
      </c>
      <c r="T52" s="26" t="str">
        <f>IF($B52="","",COUNTIFS(POS_Time,"&gt;="&amp;($C52+CONVERT(Variables!$C$12,"sec","day")),POS_Time,"&lt;="&amp;($D52-CONVERT(Variables!$C$12+1,"sec","day")),POS_Q,"&lt;="&amp;Variables!$C$11))</f>
        <v/>
      </c>
      <c r="U52" s="26" t="str">
        <f>IF($B52="","",IF(1&gt;Variables!$C$11,0,COUNTIFS(POS_Time,"&gt;="&amp;($C52+CONVERT(Variables!$C$12,"sec","day")),POS_Time,"&lt;="&amp;($D52-CONVERT(Variables!$C$12+1,"sec","day")),POS_Q,"=1")))</f>
        <v/>
      </c>
      <c r="V52" s="26" t="str">
        <f>IF($B52="","",IF(2&gt;Variables!$C$11,0,COUNTIFS(POS_Time,"&gt;="&amp;($C52+CONVERT(Variables!$C$12,"sec","day")),POS_Time,"&lt;="&amp;($D52-CONVERT(Variables!$C$12+1,"sec","day")),POS_Q,"=2")))</f>
        <v/>
      </c>
      <c r="W52" s="26" t="str">
        <f>IF($B52="","",IF(3&gt;Variables!$C$11,0,COUNTIFS(POS_Time,"&gt;="&amp;($C52+CONVERT(Variables!$C$12,"sec","day")),POS_Time,"&lt;="&amp;($D52-CONVERT(Variables!$C$12+1,"sec","day")),POS_Q,"=3")))</f>
        <v/>
      </c>
      <c r="X52" s="26" t="str">
        <f>IF($B52="","",IF(4&gt;Variables!$C$11,0,COUNTIFS(POS_Time,"&gt;="&amp;($C52+CONVERT(Variables!$C$12,"sec","day")),POS_Time,"&lt;="&amp;($D52-CONVERT(Variables!$C$12+1,"sec","day")),POS_Q,"=4")))</f>
        <v/>
      </c>
      <c r="Y52" s="26" t="str">
        <f>IF($B52="","",IF(5&gt;Variables!$C$11,0,COUNTIFS(POS_Time,"&gt;="&amp;($C52+CONVERT(Variables!$C$12,"sec","day")),POS_Time,"&lt;="&amp;($D52-CONVERT(Variables!$C$12+1,"sec","day")),POS_Q,"=5")))</f>
        <v/>
      </c>
      <c r="Z52" s="26" t="str">
        <f>IF($B52="","",IF(6&gt;Variables!$C$11,0,COUNTIFS(POS_Time,"&gt;="&amp;($C52+CONVERT(Variables!$C$12,"sec","day")),POS_Time,"&lt;="&amp;($D52-CONVERT(Variables!$C$12+1,"sec","day")),POS_Q,"=6")))</f>
        <v/>
      </c>
    </row>
    <row r="53" spans="1:26" x14ac:dyDescent="0.25">
      <c r="A53" s="2">
        <v>52</v>
      </c>
      <c r="B53" s="27" t="str">
        <f>IF((ROW()-1)&lt;=RoverStations,'Rover CSV Data'!B53,"")</f>
        <v/>
      </c>
      <c r="C53" s="28" t="str">
        <f>IF($B53="","",DATEVALUE(LEFT('Rover CSV Data'!F53,FIND(" ",'Rover CSV Data'!F53)-1))+TIMEVALUE(MID('Rover CSV Data'!F53,LEN('Rover CSV Data'!F53)-FIND(" ",'Rover CSV Data'!F53),(FIND(" UTC",'Rover CSV Data'!F53))-(LEN('Rover CSV Data'!F53)-FIND(" ",'Rover CSV Data'!F53)))))</f>
        <v/>
      </c>
      <c r="D53" s="28" t="str">
        <f>IF($B53="","",DATEVALUE(LEFT('Rover CSV Data'!G53,FIND(" ",'Rover CSV Data'!G53)-1))+TIMEVALUE(MID('Rover CSV Data'!G53,LEN('Rover CSV Data'!G53)-FIND(" ",'Rover CSV Data'!G53),(FIND(" UTC",'Rover CSV Data'!G53))-(LEN('Rover CSV Data'!G53)-FIND(" ",'Rover CSV Data'!G53)))))</f>
        <v/>
      </c>
      <c r="E53" s="29" t="str">
        <f t="shared" si="1"/>
        <v/>
      </c>
      <c r="F53" s="26" t="str">
        <f>IF($B53="","",'Rover CSV Data'!J53)</f>
        <v/>
      </c>
      <c r="G53" s="26" t="str">
        <f>IF($B53="","",AVERAGEIFS(POS_Lat,POS_Time,"&gt;="&amp;($C53+CONVERT(Variables!$C$12,"sec","day")),POS_Time,"&lt;="&amp;($D53-CONVERT(Variables!$C$12+1,"sec","day")),POS_Q,"&lt;="&amp;Variables!$C$11))</f>
        <v/>
      </c>
      <c r="H53" s="26" t="str">
        <f>IF($B53="","",AVERAGEIFS(POS_Long,POS_Time,"&gt;="&amp;($C53+CONVERT(Variables!$C$12,"sec","day")),POS_Time,"&lt;="&amp;($D53-CONVERT(Variables!$C$12+1,"sec","day")),POS_Q,"&lt;="&amp;Variables!$C$11))</f>
        <v/>
      </c>
      <c r="I53" s="30" t="str">
        <f>IF($B53="","",AVERAGEIFS(POS_elev,POS_Time,"&gt;="&amp;($C53+CONVERT(Variables!$C$12,"sec","day")),POS_Time,"&lt;="&amp;($D53-CONVERT(Variables!$C$12+1,"sec","day")),POS_Q,"&lt;="&amp;Variables!$C$11)-S53)</f>
        <v/>
      </c>
      <c r="J53" s="26" t="str">
        <f>IF($B53="","",'Rover CSV Data'!D53)</f>
        <v/>
      </c>
      <c r="K53" s="26" t="str">
        <f>IF($B53="","",'Rover CSV Data'!C53)</f>
        <v/>
      </c>
      <c r="L53" s="26" t="str">
        <f>IF($B53="","",'Rover CSV Data'!E53)</f>
        <v/>
      </c>
      <c r="M53" s="30" t="str">
        <f>IF($B53="","",AVERAGEIFS(sdn,POS_Time,"&gt;="&amp;($C53+CONVERT(Variables!$C$12,"sec","day")),POS_Time,"&lt;="&amp;($D53-CONVERT(Variables!$C$12+1,"sec","day")),POS_Q,"&lt;="&amp;Variables!$C$11))</f>
        <v/>
      </c>
      <c r="N53" s="31" t="str">
        <f>IF($B53="","",AVERAGEIFS(sde,POS_Time,"&gt;="&amp;($C53+CONVERT(Variables!$C$12,"sec","day")),POS_Time,"&lt;="&amp;($D53-CONVERT(Variables!$C$12+1,"sec","day")),POS_Q,"&lt;="&amp;Variables!$C$11))</f>
        <v/>
      </c>
      <c r="O53" s="31" t="str">
        <f>IF($B53="","",AVERAGEIFS(sdu,POS_Time,"&gt;="&amp;($C53+CONVERT(Variables!$C$12,"sec","day")),POS_Time,"&lt;="&amp;($D53-CONVERT(Variables!$C$12+1,"sec","day")),POS_Q,"&lt;="&amp;Variables!$C$11))</f>
        <v/>
      </c>
      <c r="P53" s="32" t="str">
        <f t="array" ref="P53">IF($B53="","",STDEV(IF(POS_Time&gt;=($C53+CONVERT(Variables!$C$12,"sec","day")),IF(POS_Time&lt;=($D53-CONVERT(Variables!$C$12+1,"sec","day")),IF(POS_Q&lt;=Variables!$C$11,POS_Lat)))))</f>
        <v/>
      </c>
      <c r="Q53" s="32" t="str">
        <f t="array" ref="Q53">IF($B53="","",STDEV(IF(POS_Time&gt;=($C53+CONVERT(Variables!$C$12,"sec","day")),IF(POS_Time&lt;=($D53-CONVERT(Variables!$C$12+1,"sec","day")),IF(POS_Q&lt;=Variables!$C$11,POS_Long)))))</f>
        <v/>
      </c>
      <c r="R53" s="32" t="str">
        <f t="array" ref="R53">IF($B53="","",STDEV(IF(POS_Time&gt;=($C53+CONVERT(Variables!$C$12,"sec","day")),IF(POS_Time&lt;=($D53-CONVERT(Variables!$C$12+1,"sec","day")),IF(POS_Q&lt;=Variables!$C$11,POS_elev)))))</f>
        <v/>
      </c>
      <c r="S53" s="30" t="str">
        <f>IF($B53="","",'Rover CSV Data'!K53)</f>
        <v/>
      </c>
      <c r="T53" s="26" t="str">
        <f>IF($B53="","",COUNTIFS(POS_Time,"&gt;="&amp;($C53+CONVERT(Variables!$C$12,"sec","day")),POS_Time,"&lt;="&amp;($D53-CONVERT(Variables!$C$12+1,"sec","day")),POS_Q,"&lt;="&amp;Variables!$C$11))</f>
        <v/>
      </c>
      <c r="U53" s="26" t="str">
        <f>IF($B53="","",IF(1&gt;Variables!$C$11,0,COUNTIFS(POS_Time,"&gt;="&amp;($C53+CONVERT(Variables!$C$12,"sec","day")),POS_Time,"&lt;="&amp;($D53-CONVERT(Variables!$C$12+1,"sec","day")),POS_Q,"=1")))</f>
        <v/>
      </c>
      <c r="V53" s="26" t="str">
        <f>IF($B53="","",IF(2&gt;Variables!$C$11,0,COUNTIFS(POS_Time,"&gt;="&amp;($C53+CONVERT(Variables!$C$12,"sec","day")),POS_Time,"&lt;="&amp;($D53-CONVERT(Variables!$C$12+1,"sec","day")),POS_Q,"=2")))</f>
        <v/>
      </c>
      <c r="W53" s="26" t="str">
        <f>IF($B53="","",IF(3&gt;Variables!$C$11,0,COUNTIFS(POS_Time,"&gt;="&amp;($C53+CONVERT(Variables!$C$12,"sec","day")),POS_Time,"&lt;="&amp;($D53-CONVERT(Variables!$C$12+1,"sec","day")),POS_Q,"=3")))</f>
        <v/>
      </c>
      <c r="X53" s="26" t="str">
        <f>IF($B53="","",IF(4&gt;Variables!$C$11,0,COUNTIFS(POS_Time,"&gt;="&amp;($C53+CONVERT(Variables!$C$12,"sec","day")),POS_Time,"&lt;="&amp;($D53-CONVERT(Variables!$C$12+1,"sec","day")),POS_Q,"=4")))</f>
        <v/>
      </c>
      <c r="Y53" s="26" t="str">
        <f>IF($B53="","",IF(5&gt;Variables!$C$11,0,COUNTIFS(POS_Time,"&gt;="&amp;($C53+CONVERT(Variables!$C$12,"sec","day")),POS_Time,"&lt;="&amp;($D53-CONVERT(Variables!$C$12+1,"sec","day")),POS_Q,"=5")))</f>
        <v/>
      </c>
      <c r="Z53" s="26" t="str">
        <f>IF($B53="","",IF(6&gt;Variables!$C$11,0,COUNTIFS(POS_Time,"&gt;="&amp;($C53+CONVERT(Variables!$C$12,"sec","day")),POS_Time,"&lt;="&amp;($D53-CONVERT(Variables!$C$12+1,"sec","day")),POS_Q,"=6")))</f>
        <v/>
      </c>
    </row>
    <row r="54" spans="1:26" x14ac:dyDescent="0.25">
      <c r="A54" s="2">
        <v>53</v>
      </c>
      <c r="B54" s="27" t="str">
        <f>IF((ROW()-1)&lt;=RoverStations,'Rover CSV Data'!B54,"")</f>
        <v/>
      </c>
      <c r="C54" s="28" t="str">
        <f>IF($B54="","",DATEVALUE(LEFT('Rover CSV Data'!F54,FIND(" ",'Rover CSV Data'!F54)-1))+TIMEVALUE(MID('Rover CSV Data'!F54,LEN('Rover CSV Data'!F54)-FIND(" ",'Rover CSV Data'!F54),(FIND(" UTC",'Rover CSV Data'!F54))-(LEN('Rover CSV Data'!F54)-FIND(" ",'Rover CSV Data'!F54)))))</f>
        <v/>
      </c>
      <c r="D54" s="28" t="str">
        <f>IF($B54="","",DATEVALUE(LEFT('Rover CSV Data'!G54,FIND(" ",'Rover CSV Data'!G54)-1))+TIMEVALUE(MID('Rover CSV Data'!G54,LEN('Rover CSV Data'!G54)-FIND(" ",'Rover CSV Data'!G54),(FIND(" UTC",'Rover CSV Data'!G54))-(LEN('Rover CSV Data'!G54)-FIND(" ",'Rover CSV Data'!G54)))))</f>
        <v/>
      </c>
      <c r="E54" s="29" t="str">
        <f t="shared" si="1"/>
        <v/>
      </c>
      <c r="F54" s="26" t="str">
        <f>IF($B54="","",'Rover CSV Data'!J54)</f>
        <v/>
      </c>
      <c r="G54" s="26" t="str">
        <f>IF($B54="","",AVERAGEIFS(POS_Lat,POS_Time,"&gt;="&amp;($C54+CONVERT(Variables!$C$12,"sec","day")),POS_Time,"&lt;="&amp;($D54-CONVERT(Variables!$C$12+1,"sec","day")),POS_Q,"&lt;="&amp;Variables!$C$11))</f>
        <v/>
      </c>
      <c r="H54" s="26" t="str">
        <f>IF($B54="","",AVERAGEIFS(POS_Long,POS_Time,"&gt;="&amp;($C54+CONVERT(Variables!$C$12,"sec","day")),POS_Time,"&lt;="&amp;($D54-CONVERT(Variables!$C$12+1,"sec","day")),POS_Q,"&lt;="&amp;Variables!$C$11))</f>
        <v/>
      </c>
      <c r="I54" s="30" t="str">
        <f>IF($B54="","",AVERAGEIFS(POS_elev,POS_Time,"&gt;="&amp;($C54+CONVERT(Variables!$C$12,"sec","day")),POS_Time,"&lt;="&amp;($D54-CONVERT(Variables!$C$12+1,"sec","day")),POS_Q,"&lt;="&amp;Variables!$C$11)-S54)</f>
        <v/>
      </c>
      <c r="J54" s="26" t="str">
        <f>IF($B54="","",'Rover CSV Data'!D54)</f>
        <v/>
      </c>
      <c r="K54" s="26" t="str">
        <f>IF($B54="","",'Rover CSV Data'!C54)</f>
        <v/>
      </c>
      <c r="L54" s="26" t="str">
        <f>IF($B54="","",'Rover CSV Data'!E54)</f>
        <v/>
      </c>
      <c r="M54" s="30" t="str">
        <f>IF($B54="","",AVERAGEIFS(sdn,POS_Time,"&gt;="&amp;($C54+CONVERT(Variables!$C$12,"sec","day")),POS_Time,"&lt;="&amp;($D54-CONVERT(Variables!$C$12+1,"sec","day")),POS_Q,"&lt;="&amp;Variables!$C$11))</f>
        <v/>
      </c>
      <c r="N54" s="31" t="str">
        <f>IF($B54="","",AVERAGEIFS(sde,POS_Time,"&gt;="&amp;($C54+CONVERT(Variables!$C$12,"sec","day")),POS_Time,"&lt;="&amp;($D54-CONVERT(Variables!$C$12+1,"sec","day")),POS_Q,"&lt;="&amp;Variables!$C$11))</f>
        <v/>
      </c>
      <c r="O54" s="31" t="str">
        <f>IF($B54="","",AVERAGEIFS(sdu,POS_Time,"&gt;="&amp;($C54+CONVERT(Variables!$C$12,"sec","day")),POS_Time,"&lt;="&amp;($D54-CONVERT(Variables!$C$12+1,"sec","day")),POS_Q,"&lt;="&amp;Variables!$C$11))</f>
        <v/>
      </c>
      <c r="P54" s="32" t="str">
        <f t="array" ref="P54">IF($B54="","",STDEV(IF(POS_Time&gt;=($C54+CONVERT(Variables!$C$12,"sec","day")),IF(POS_Time&lt;=($D54-CONVERT(Variables!$C$12+1,"sec","day")),IF(POS_Q&lt;=Variables!$C$11,POS_Lat)))))</f>
        <v/>
      </c>
      <c r="Q54" s="32" t="str">
        <f t="array" ref="Q54">IF($B54="","",STDEV(IF(POS_Time&gt;=($C54+CONVERT(Variables!$C$12,"sec","day")),IF(POS_Time&lt;=($D54-CONVERT(Variables!$C$12+1,"sec","day")),IF(POS_Q&lt;=Variables!$C$11,POS_Long)))))</f>
        <v/>
      </c>
      <c r="R54" s="32" t="str">
        <f t="array" ref="R54">IF($B54="","",STDEV(IF(POS_Time&gt;=($C54+CONVERT(Variables!$C$12,"sec","day")),IF(POS_Time&lt;=($D54-CONVERT(Variables!$C$12+1,"sec","day")),IF(POS_Q&lt;=Variables!$C$11,POS_elev)))))</f>
        <v/>
      </c>
      <c r="S54" s="30" t="str">
        <f>IF($B54="","",'Rover CSV Data'!K54)</f>
        <v/>
      </c>
      <c r="T54" s="26" t="str">
        <f>IF($B54="","",COUNTIFS(POS_Time,"&gt;="&amp;($C54+CONVERT(Variables!$C$12,"sec","day")),POS_Time,"&lt;="&amp;($D54-CONVERT(Variables!$C$12+1,"sec","day")),POS_Q,"&lt;="&amp;Variables!$C$11))</f>
        <v/>
      </c>
      <c r="U54" s="26" t="str">
        <f>IF($B54="","",IF(1&gt;Variables!$C$11,0,COUNTIFS(POS_Time,"&gt;="&amp;($C54+CONVERT(Variables!$C$12,"sec","day")),POS_Time,"&lt;="&amp;($D54-CONVERT(Variables!$C$12+1,"sec","day")),POS_Q,"=1")))</f>
        <v/>
      </c>
      <c r="V54" s="26" t="str">
        <f>IF($B54="","",IF(2&gt;Variables!$C$11,0,COUNTIFS(POS_Time,"&gt;="&amp;($C54+CONVERT(Variables!$C$12,"sec","day")),POS_Time,"&lt;="&amp;($D54-CONVERT(Variables!$C$12+1,"sec","day")),POS_Q,"=2")))</f>
        <v/>
      </c>
      <c r="W54" s="26" t="str">
        <f>IF($B54="","",IF(3&gt;Variables!$C$11,0,COUNTIFS(POS_Time,"&gt;="&amp;($C54+CONVERT(Variables!$C$12,"sec","day")),POS_Time,"&lt;="&amp;($D54-CONVERT(Variables!$C$12+1,"sec","day")),POS_Q,"=3")))</f>
        <v/>
      </c>
      <c r="X54" s="26" t="str">
        <f>IF($B54="","",IF(4&gt;Variables!$C$11,0,COUNTIFS(POS_Time,"&gt;="&amp;($C54+CONVERT(Variables!$C$12,"sec","day")),POS_Time,"&lt;="&amp;($D54-CONVERT(Variables!$C$12+1,"sec","day")),POS_Q,"=4")))</f>
        <v/>
      </c>
      <c r="Y54" s="26" t="str">
        <f>IF($B54="","",IF(5&gt;Variables!$C$11,0,COUNTIFS(POS_Time,"&gt;="&amp;($C54+CONVERT(Variables!$C$12,"sec","day")),POS_Time,"&lt;="&amp;($D54-CONVERT(Variables!$C$12+1,"sec","day")),POS_Q,"=5")))</f>
        <v/>
      </c>
      <c r="Z54" s="26" t="str">
        <f>IF($B54="","",IF(6&gt;Variables!$C$11,0,COUNTIFS(POS_Time,"&gt;="&amp;($C54+CONVERT(Variables!$C$12,"sec","day")),POS_Time,"&lt;="&amp;($D54-CONVERT(Variables!$C$12+1,"sec","day")),POS_Q,"=6")))</f>
        <v/>
      </c>
    </row>
    <row r="55" spans="1:26" x14ac:dyDescent="0.25">
      <c r="A55" s="2">
        <v>54</v>
      </c>
      <c r="B55" s="27" t="str">
        <f>IF((ROW()-1)&lt;=RoverStations,'Rover CSV Data'!B55,"")</f>
        <v/>
      </c>
      <c r="C55" s="28" t="str">
        <f>IF($B55="","",DATEVALUE(LEFT('Rover CSV Data'!F55,FIND(" ",'Rover CSV Data'!F55)-1))+TIMEVALUE(MID('Rover CSV Data'!F55,LEN('Rover CSV Data'!F55)-FIND(" ",'Rover CSV Data'!F55),(FIND(" UTC",'Rover CSV Data'!F55))-(LEN('Rover CSV Data'!F55)-FIND(" ",'Rover CSV Data'!F55)))))</f>
        <v/>
      </c>
      <c r="D55" s="28" t="str">
        <f>IF($B55="","",DATEVALUE(LEFT('Rover CSV Data'!G55,FIND(" ",'Rover CSV Data'!G55)-1))+TIMEVALUE(MID('Rover CSV Data'!G55,LEN('Rover CSV Data'!G55)-FIND(" ",'Rover CSV Data'!G55),(FIND(" UTC",'Rover CSV Data'!G55))-(LEN('Rover CSV Data'!G55)-FIND(" ",'Rover CSV Data'!G55)))))</f>
        <v/>
      </c>
      <c r="E55" s="29" t="str">
        <f t="shared" si="1"/>
        <v/>
      </c>
      <c r="F55" s="26" t="str">
        <f>IF($B55="","",'Rover CSV Data'!J55)</f>
        <v/>
      </c>
      <c r="G55" s="26" t="str">
        <f>IF($B55="","",AVERAGEIFS(POS_Lat,POS_Time,"&gt;="&amp;($C55+CONVERT(Variables!$C$12,"sec","day")),POS_Time,"&lt;="&amp;($D55-CONVERT(Variables!$C$12+1,"sec","day")),POS_Q,"&lt;="&amp;Variables!$C$11))</f>
        <v/>
      </c>
      <c r="H55" s="26" t="str">
        <f>IF($B55="","",AVERAGEIFS(POS_Long,POS_Time,"&gt;="&amp;($C55+CONVERT(Variables!$C$12,"sec","day")),POS_Time,"&lt;="&amp;($D55-CONVERT(Variables!$C$12+1,"sec","day")),POS_Q,"&lt;="&amp;Variables!$C$11))</f>
        <v/>
      </c>
      <c r="I55" s="30" t="str">
        <f>IF($B55="","",AVERAGEIFS(POS_elev,POS_Time,"&gt;="&amp;($C55+CONVERT(Variables!$C$12,"sec","day")),POS_Time,"&lt;="&amp;($D55-CONVERT(Variables!$C$12+1,"sec","day")),POS_Q,"&lt;="&amp;Variables!$C$11)-S55)</f>
        <v/>
      </c>
      <c r="J55" s="26" t="str">
        <f>IF($B55="","",'Rover CSV Data'!D55)</f>
        <v/>
      </c>
      <c r="K55" s="26" t="str">
        <f>IF($B55="","",'Rover CSV Data'!C55)</f>
        <v/>
      </c>
      <c r="L55" s="26" t="str">
        <f>IF($B55="","",'Rover CSV Data'!E55)</f>
        <v/>
      </c>
      <c r="M55" s="30" t="str">
        <f>IF($B55="","",AVERAGEIFS(sdn,POS_Time,"&gt;="&amp;($C55+CONVERT(Variables!$C$12,"sec","day")),POS_Time,"&lt;="&amp;($D55-CONVERT(Variables!$C$12+1,"sec","day")),POS_Q,"&lt;="&amp;Variables!$C$11))</f>
        <v/>
      </c>
      <c r="N55" s="31" t="str">
        <f>IF($B55="","",AVERAGEIFS(sde,POS_Time,"&gt;="&amp;($C55+CONVERT(Variables!$C$12,"sec","day")),POS_Time,"&lt;="&amp;($D55-CONVERT(Variables!$C$12+1,"sec","day")),POS_Q,"&lt;="&amp;Variables!$C$11))</f>
        <v/>
      </c>
      <c r="O55" s="31" t="str">
        <f>IF($B55="","",AVERAGEIFS(sdu,POS_Time,"&gt;="&amp;($C55+CONVERT(Variables!$C$12,"sec","day")),POS_Time,"&lt;="&amp;($D55-CONVERT(Variables!$C$12+1,"sec","day")),POS_Q,"&lt;="&amp;Variables!$C$11))</f>
        <v/>
      </c>
      <c r="P55" s="32" t="str">
        <f t="array" ref="P55">IF($B55="","",STDEV(IF(POS_Time&gt;=($C55+CONVERT(Variables!$C$12,"sec","day")),IF(POS_Time&lt;=($D55-CONVERT(Variables!$C$12+1,"sec","day")),IF(POS_Q&lt;=Variables!$C$11,POS_Lat)))))</f>
        <v/>
      </c>
      <c r="Q55" s="32" t="str">
        <f t="array" ref="Q55">IF($B55="","",STDEV(IF(POS_Time&gt;=($C55+CONVERT(Variables!$C$12,"sec","day")),IF(POS_Time&lt;=($D55-CONVERT(Variables!$C$12+1,"sec","day")),IF(POS_Q&lt;=Variables!$C$11,POS_Long)))))</f>
        <v/>
      </c>
      <c r="R55" s="32" t="str">
        <f t="array" ref="R55">IF($B55="","",STDEV(IF(POS_Time&gt;=($C55+CONVERT(Variables!$C$12,"sec","day")),IF(POS_Time&lt;=($D55-CONVERT(Variables!$C$12+1,"sec","day")),IF(POS_Q&lt;=Variables!$C$11,POS_elev)))))</f>
        <v/>
      </c>
      <c r="S55" s="30" t="str">
        <f>IF($B55="","",'Rover CSV Data'!K55)</f>
        <v/>
      </c>
      <c r="T55" s="26" t="str">
        <f>IF($B55="","",COUNTIFS(POS_Time,"&gt;="&amp;($C55+CONVERT(Variables!$C$12,"sec","day")),POS_Time,"&lt;="&amp;($D55-CONVERT(Variables!$C$12+1,"sec","day")),POS_Q,"&lt;="&amp;Variables!$C$11))</f>
        <v/>
      </c>
      <c r="U55" s="26" t="str">
        <f>IF($B55="","",IF(1&gt;Variables!$C$11,0,COUNTIFS(POS_Time,"&gt;="&amp;($C55+CONVERT(Variables!$C$12,"sec","day")),POS_Time,"&lt;="&amp;($D55-CONVERT(Variables!$C$12+1,"sec","day")),POS_Q,"=1")))</f>
        <v/>
      </c>
      <c r="V55" s="26" t="str">
        <f>IF($B55="","",IF(2&gt;Variables!$C$11,0,COUNTIFS(POS_Time,"&gt;="&amp;($C55+CONVERT(Variables!$C$12,"sec","day")),POS_Time,"&lt;="&amp;($D55-CONVERT(Variables!$C$12+1,"sec","day")),POS_Q,"=2")))</f>
        <v/>
      </c>
      <c r="W55" s="26" t="str">
        <f>IF($B55="","",IF(3&gt;Variables!$C$11,0,COUNTIFS(POS_Time,"&gt;="&amp;($C55+CONVERT(Variables!$C$12,"sec","day")),POS_Time,"&lt;="&amp;($D55-CONVERT(Variables!$C$12+1,"sec","day")),POS_Q,"=3")))</f>
        <v/>
      </c>
      <c r="X55" s="26" t="str">
        <f>IF($B55="","",IF(4&gt;Variables!$C$11,0,COUNTIFS(POS_Time,"&gt;="&amp;($C55+CONVERT(Variables!$C$12,"sec","day")),POS_Time,"&lt;="&amp;($D55-CONVERT(Variables!$C$12+1,"sec","day")),POS_Q,"=4")))</f>
        <v/>
      </c>
      <c r="Y55" s="26" t="str">
        <f>IF($B55="","",IF(5&gt;Variables!$C$11,0,COUNTIFS(POS_Time,"&gt;="&amp;($C55+CONVERT(Variables!$C$12,"sec","day")),POS_Time,"&lt;="&amp;($D55-CONVERT(Variables!$C$12+1,"sec","day")),POS_Q,"=5")))</f>
        <v/>
      </c>
      <c r="Z55" s="26" t="str">
        <f>IF($B55="","",IF(6&gt;Variables!$C$11,0,COUNTIFS(POS_Time,"&gt;="&amp;($C55+CONVERT(Variables!$C$12,"sec","day")),POS_Time,"&lt;="&amp;($D55-CONVERT(Variables!$C$12+1,"sec","day")),POS_Q,"=6")))</f>
        <v/>
      </c>
    </row>
    <row r="56" spans="1:26" x14ac:dyDescent="0.25">
      <c r="A56" s="2">
        <v>55</v>
      </c>
      <c r="B56" s="27" t="str">
        <f>IF((ROW()-1)&lt;=RoverStations,'Rover CSV Data'!B56,"")</f>
        <v/>
      </c>
      <c r="C56" s="28" t="str">
        <f>IF($B56="","",DATEVALUE(LEFT('Rover CSV Data'!F56,FIND(" ",'Rover CSV Data'!F56)-1))+TIMEVALUE(MID('Rover CSV Data'!F56,LEN('Rover CSV Data'!F56)-FIND(" ",'Rover CSV Data'!F56),(FIND(" UTC",'Rover CSV Data'!F56))-(LEN('Rover CSV Data'!F56)-FIND(" ",'Rover CSV Data'!F56)))))</f>
        <v/>
      </c>
      <c r="D56" s="28" t="str">
        <f>IF($B56="","",DATEVALUE(LEFT('Rover CSV Data'!G56,FIND(" ",'Rover CSV Data'!G56)-1))+TIMEVALUE(MID('Rover CSV Data'!G56,LEN('Rover CSV Data'!G56)-FIND(" ",'Rover CSV Data'!G56),(FIND(" UTC",'Rover CSV Data'!G56))-(LEN('Rover CSV Data'!G56)-FIND(" ",'Rover CSV Data'!G56)))))</f>
        <v/>
      </c>
      <c r="E56" s="29" t="str">
        <f t="shared" si="1"/>
        <v/>
      </c>
      <c r="F56" s="26" t="str">
        <f>IF($B56="","",'Rover CSV Data'!J56)</f>
        <v/>
      </c>
      <c r="G56" s="26" t="str">
        <f>IF($B56="","",AVERAGEIFS(POS_Lat,POS_Time,"&gt;="&amp;($C56+CONVERT(Variables!$C$12,"sec","day")),POS_Time,"&lt;="&amp;($D56-CONVERT(Variables!$C$12+1,"sec","day")),POS_Q,"&lt;="&amp;Variables!$C$11))</f>
        <v/>
      </c>
      <c r="H56" s="26" t="str">
        <f>IF($B56="","",AVERAGEIFS(POS_Long,POS_Time,"&gt;="&amp;($C56+CONVERT(Variables!$C$12,"sec","day")),POS_Time,"&lt;="&amp;($D56-CONVERT(Variables!$C$12+1,"sec","day")),POS_Q,"&lt;="&amp;Variables!$C$11))</f>
        <v/>
      </c>
      <c r="I56" s="30" t="str">
        <f>IF($B56="","",AVERAGEIFS(POS_elev,POS_Time,"&gt;="&amp;($C56+CONVERT(Variables!$C$12,"sec","day")),POS_Time,"&lt;="&amp;($D56-CONVERT(Variables!$C$12+1,"sec","day")),POS_Q,"&lt;="&amp;Variables!$C$11)-S56)</f>
        <v/>
      </c>
      <c r="J56" s="26" t="str">
        <f>IF($B56="","",'Rover CSV Data'!D56)</f>
        <v/>
      </c>
      <c r="K56" s="26" t="str">
        <f>IF($B56="","",'Rover CSV Data'!C56)</f>
        <v/>
      </c>
      <c r="L56" s="26" t="str">
        <f>IF($B56="","",'Rover CSV Data'!E56)</f>
        <v/>
      </c>
      <c r="M56" s="30" t="str">
        <f>IF($B56="","",AVERAGEIFS(sdn,POS_Time,"&gt;="&amp;($C56+CONVERT(Variables!$C$12,"sec","day")),POS_Time,"&lt;="&amp;($D56-CONVERT(Variables!$C$12+1,"sec","day")),POS_Q,"&lt;="&amp;Variables!$C$11))</f>
        <v/>
      </c>
      <c r="N56" s="31" t="str">
        <f>IF($B56="","",AVERAGEIFS(sde,POS_Time,"&gt;="&amp;($C56+CONVERT(Variables!$C$12,"sec","day")),POS_Time,"&lt;="&amp;($D56-CONVERT(Variables!$C$12+1,"sec","day")),POS_Q,"&lt;="&amp;Variables!$C$11))</f>
        <v/>
      </c>
      <c r="O56" s="31" t="str">
        <f>IF($B56="","",AVERAGEIFS(sdu,POS_Time,"&gt;="&amp;($C56+CONVERT(Variables!$C$12,"sec","day")),POS_Time,"&lt;="&amp;($D56-CONVERT(Variables!$C$12+1,"sec","day")),POS_Q,"&lt;="&amp;Variables!$C$11))</f>
        <v/>
      </c>
      <c r="P56" s="32" t="str">
        <f t="array" ref="P56">IF($B56="","",STDEV(IF(POS_Time&gt;=($C56+CONVERT(Variables!$C$12,"sec","day")),IF(POS_Time&lt;=($D56-CONVERT(Variables!$C$12+1,"sec","day")),IF(POS_Q&lt;=Variables!$C$11,POS_Lat)))))</f>
        <v/>
      </c>
      <c r="Q56" s="32" t="str">
        <f t="array" ref="Q56">IF($B56="","",STDEV(IF(POS_Time&gt;=($C56+CONVERT(Variables!$C$12,"sec","day")),IF(POS_Time&lt;=($D56-CONVERT(Variables!$C$12+1,"sec","day")),IF(POS_Q&lt;=Variables!$C$11,POS_Long)))))</f>
        <v/>
      </c>
      <c r="R56" s="32" t="str">
        <f t="array" ref="R56">IF($B56="","",STDEV(IF(POS_Time&gt;=($C56+CONVERT(Variables!$C$12,"sec","day")),IF(POS_Time&lt;=($D56-CONVERT(Variables!$C$12+1,"sec","day")),IF(POS_Q&lt;=Variables!$C$11,POS_elev)))))</f>
        <v/>
      </c>
      <c r="S56" s="30" t="str">
        <f>IF($B56="","",'Rover CSV Data'!K56)</f>
        <v/>
      </c>
      <c r="T56" s="26" t="str">
        <f>IF($B56="","",COUNTIFS(POS_Time,"&gt;="&amp;($C56+CONVERT(Variables!$C$12,"sec","day")),POS_Time,"&lt;="&amp;($D56-CONVERT(Variables!$C$12+1,"sec","day")),POS_Q,"&lt;="&amp;Variables!$C$11))</f>
        <v/>
      </c>
      <c r="U56" s="26" t="str">
        <f>IF($B56="","",IF(1&gt;Variables!$C$11,0,COUNTIFS(POS_Time,"&gt;="&amp;($C56+CONVERT(Variables!$C$12,"sec","day")),POS_Time,"&lt;="&amp;($D56-CONVERT(Variables!$C$12+1,"sec","day")),POS_Q,"=1")))</f>
        <v/>
      </c>
      <c r="V56" s="26" t="str">
        <f>IF($B56="","",IF(2&gt;Variables!$C$11,0,COUNTIFS(POS_Time,"&gt;="&amp;($C56+CONVERT(Variables!$C$12,"sec","day")),POS_Time,"&lt;="&amp;($D56-CONVERT(Variables!$C$12+1,"sec","day")),POS_Q,"=2")))</f>
        <v/>
      </c>
      <c r="W56" s="26" t="str">
        <f>IF($B56="","",IF(3&gt;Variables!$C$11,0,COUNTIFS(POS_Time,"&gt;="&amp;($C56+CONVERT(Variables!$C$12,"sec","day")),POS_Time,"&lt;="&amp;($D56-CONVERT(Variables!$C$12+1,"sec","day")),POS_Q,"=3")))</f>
        <v/>
      </c>
      <c r="X56" s="26" t="str">
        <f>IF($B56="","",IF(4&gt;Variables!$C$11,0,COUNTIFS(POS_Time,"&gt;="&amp;($C56+CONVERT(Variables!$C$12,"sec","day")),POS_Time,"&lt;="&amp;($D56-CONVERT(Variables!$C$12+1,"sec","day")),POS_Q,"=4")))</f>
        <v/>
      </c>
      <c r="Y56" s="26" t="str">
        <f>IF($B56="","",IF(5&gt;Variables!$C$11,0,COUNTIFS(POS_Time,"&gt;="&amp;($C56+CONVERT(Variables!$C$12,"sec","day")),POS_Time,"&lt;="&amp;($D56-CONVERT(Variables!$C$12+1,"sec","day")),POS_Q,"=5")))</f>
        <v/>
      </c>
      <c r="Z56" s="26" t="str">
        <f>IF($B56="","",IF(6&gt;Variables!$C$11,0,COUNTIFS(POS_Time,"&gt;="&amp;($C56+CONVERT(Variables!$C$12,"sec","day")),POS_Time,"&lt;="&amp;($D56-CONVERT(Variables!$C$12+1,"sec","day")),POS_Q,"=6")))</f>
        <v/>
      </c>
    </row>
    <row r="57" spans="1:26" x14ac:dyDescent="0.25">
      <c r="A57" s="2">
        <v>56</v>
      </c>
      <c r="B57" s="27" t="str">
        <f>IF((ROW()-1)&lt;=RoverStations,'Rover CSV Data'!B57,"")</f>
        <v/>
      </c>
      <c r="C57" s="28" t="str">
        <f>IF($B57="","",DATEVALUE(LEFT('Rover CSV Data'!F57,FIND(" ",'Rover CSV Data'!F57)-1))+TIMEVALUE(MID('Rover CSV Data'!F57,LEN('Rover CSV Data'!F57)-FIND(" ",'Rover CSV Data'!F57),(FIND(" UTC",'Rover CSV Data'!F57))-(LEN('Rover CSV Data'!F57)-FIND(" ",'Rover CSV Data'!F57)))))</f>
        <v/>
      </c>
      <c r="D57" s="28" t="str">
        <f>IF($B57="","",DATEVALUE(LEFT('Rover CSV Data'!G57,FIND(" ",'Rover CSV Data'!G57)-1))+TIMEVALUE(MID('Rover CSV Data'!G57,LEN('Rover CSV Data'!G57)-FIND(" ",'Rover CSV Data'!G57),(FIND(" UTC",'Rover CSV Data'!G57))-(LEN('Rover CSV Data'!G57)-FIND(" ",'Rover CSV Data'!G57)))))</f>
        <v/>
      </c>
      <c r="E57" s="29" t="str">
        <f t="shared" si="1"/>
        <v/>
      </c>
      <c r="F57" s="26" t="str">
        <f>IF($B57="","",'Rover CSV Data'!J57)</f>
        <v/>
      </c>
      <c r="G57" s="26" t="str">
        <f>IF($B57="","",AVERAGEIFS(POS_Lat,POS_Time,"&gt;="&amp;($C57+CONVERT(Variables!$C$12,"sec","day")),POS_Time,"&lt;="&amp;($D57-CONVERT(Variables!$C$12+1,"sec","day")),POS_Q,"&lt;="&amp;Variables!$C$11))</f>
        <v/>
      </c>
      <c r="H57" s="26" t="str">
        <f>IF($B57="","",AVERAGEIFS(POS_Long,POS_Time,"&gt;="&amp;($C57+CONVERT(Variables!$C$12,"sec","day")),POS_Time,"&lt;="&amp;($D57-CONVERT(Variables!$C$12+1,"sec","day")),POS_Q,"&lt;="&amp;Variables!$C$11))</f>
        <v/>
      </c>
      <c r="I57" s="30" t="str">
        <f>IF($B57="","",AVERAGEIFS(POS_elev,POS_Time,"&gt;="&amp;($C57+CONVERT(Variables!$C$12,"sec","day")),POS_Time,"&lt;="&amp;($D57-CONVERT(Variables!$C$12+1,"sec","day")),POS_Q,"&lt;="&amp;Variables!$C$11)-S57)</f>
        <v/>
      </c>
      <c r="J57" s="26" t="str">
        <f>IF($B57="","",'Rover CSV Data'!D57)</f>
        <v/>
      </c>
      <c r="K57" s="26" t="str">
        <f>IF($B57="","",'Rover CSV Data'!C57)</f>
        <v/>
      </c>
      <c r="L57" s="26" t="str">
        <f>IF($B57="","",'Rover CSV Data'!E57)</f>
        <v/>
      </c>
      <c r="M57" s="30" t="str">
        <f>IF($B57="","",AVERAGEIFS(sdn,POS_Time,"&gt;="&amp;($C57+CONVERT(Variables!$C$12,"sec","day")),POS_Time,"&lt;="&amp;($D57-CONVERT(Variables!$C$12+1,"sec","day")),POS_Q,"&lt;="&amp;Variables!$C$11))</f>
        <v/>
      </c>
      <c r="N57" s="31" t="str">
        <f>IF($B57="","",AVERAGEIFS(sde,POS_Time,"&gt;="&amp;($C57+CONVERT(Variables!$C$12,"sec","day")),POS_Time,"&lt;="&amp;($D57-CONVERT(Variables!$C$12+1,"sec","day")),POS_Q,"&lt;="&amp;Variables!$C$11))</f>
        <v/>
      </c>
      <c r="O57" s="31" t="str">
        <f>IF($B57="","",AVERAGEIFS(sdu,POS_Time,"&gt;="&amp;($C57+CONVERT(Variables!$C$12,"sec","day")),POS_Time,"&lt;="&amp;($D57-CONVERT(Variables!$C$12+1,"sec","day")),POS_Q,"&lt;="&amp;Variables!$C$11))</f>
        <v/>
      </c>
      <c r="P57" s="32" t="str">
        <f t="array" ref="P57">IF($B57="","",STDEV(IF(POS_Time&gt;=($C57+CONVERT(Variables!$C$12,"sec","day")),IF(POS_Time&lt;=($D57-CONVERT(Variables!$C$12+1,"sec","day")),IF(POS_Q&lt;=Variables!$C$11,POS_Lat)))))</f>
        <v/>
      </c>
      <c r="Q57" s="32" t="str">
        <f t="array" ref="Q57">IF($B57="","",STDEV(IF(POS_Time&gt;=($C57+CONVERT(Variables!$C$12,"sec","day")),IF(POS_Time&lt;=($D57-CONVERT(Variables!$C$12+1,"sec","day")),IF(POS_Q&lt;=Variables!$C$11,POS_Long)))))</f>
        <v/>
      </c>
      <c r="R57" s="32" t="str">
        <f t="array" ref="R57">IF($B57="","",STDEV(IF(POS_Time&gt;=($C57+CONVERT(Variables!$C$12,"sec","day")),IF(POS_Time&lt;=($D57-CONVERT(Variables!$C$12+1,"sec","day")),IF(POS_Q&lt;=Variables!$C$11,POS_elev)))))</f>
        <v/>
      </c>
      <c r="S57" s="30" t="str">
        <f>IF($B57="","",'Rover CSV Data'!K57)</f>
        <v/>
      </c>
      <c r="T57" s="26" t="str">
        <f>IF($B57="","",COUNTIFS(POS_Time,"&gt;="&amp;($C57+CONVERT(Variables!$C$12,"sec","day")),POS_Time,"&lt;="&amp;($D57-CONVERT(Variables!$C$12+1,"sec","day")),POS_Q,"&lt;="&amp;Variables!$C$11))</f>
        <v/>
      </c>
      <c r="U57" s="26" t="str">
        <f>IF($B57="","",IF(1&gt;Variables!$C$11,0,COUNTIFS(POS_Time,"&gt;="&amp;($C57+CONVERT(Variables!$C$12,"sec","day")),POS_Time,"&lt;="&amp;($D57-CONVERT(Variables!$C$12+1,"sec","day")),POS_Q,"=1")))</f>
        <v/>
      </c>
      <c r="V57" s="26" t="str">
        <f>IF($B57="","",IF(2&gt;Variables!$C$11,0,COUNTIFS(POS_Time,"&gt;="&amp;($C57+CONVERT(Variables!$C$12,"sec","day")),POS_Time,"&lt;="&amp;($D57-CONVERT(Variables!$C$12+1,"sec","day")),POS_Q,"=2")))</f>
        <v/>
      </c>
      <c r="W57" s="26" t="str">
        <f>IF($B57="","",IF(3&gt;Variables!$C$11,0,COUNTIFS(POS_Time,"&gt;="&amp;($C57+CONVERT(Variables!$C$12,"sec","day")),POS_Time,"&lt;="&amp;($D57-CONVERT(Variables!$C$12+1,"sec","day")),POS_Q,"=3")))</f>
        <v/>
      </c>
      <c r="X57" s="26" t="str">
        <f>IF($B57="","",IF(4&gt;Variables!$C$11,0,COUNTIFS(POS_Time,"&gt;="&amp;($C57+CONVERT(Variables!$C$12,"sec","day")),POS_Time,"&lt;="&amp;($D57-CONVERT(Variables!$C$12+1,"sec","day")),POS_Q,"=4")))</f>
        <v/>
      </c>
      <c r="Y57" s="26" t="str">
        <f>IF($B57="","",IF(5&gt;Variables!$C$11,0,COUNTIFS(POS_Time,"&gt;="&amp;($C57+CONVERT(Variables!$C$12,"sec","day")),POS_Time,"&lt;="&amp;($D57-CONVERT(Variables!$C$12+1,"sec","day")),POS_Q,"=5")))</f>
        <v/>
      </c>
      <c r="Z57" s="26" t="str">
        <f>IF($B57="","",IF(6&gt;Variables!$C$11,0,COUNTIFS(POS_Time,"&gt;="&amp;($C57+CONVERT(Variables!$C$12,"sec","day")),POS_Time,"&lt;="&amp;($D57-CONVERT(Variables!$C$12+1,"sec","day")),POS_Q,"=6")))</f>
        <v/>
      </c>
    </row>
    <row r="58" spans="1:26" x14ac:dyDescent="0.25">
      <c r="A58" s="2">
        <v>57</v>
      </c>
      <c r="B58" s="27" t="str">
        <f>IF((ROW()-1)&lt;=RoverStations,'Rover CSV Data'!B58,"")</f>
        <v/>
      </c>
      <c r="C58" s="28" t="str">
        <f>IF($B58="","",DATEVALUE(LEFT('Rover CSV Data'!F58,FIND(" ",'Rover CSV Data'!F58)-1))+TIMEVALUE(MID('Rover CSV Data'!F58,LEN('Rover CSV Data'!F58)-FIND(" ",'Rover CSV Data'!F58),(FIND(" UTC",'Rover CSV Data'!F58))-(LEN('Rover CSV Data'!F58)-FIND(" ",'Rover CSV Data'!F58)))))</f>
        <v/>
      </c>
      <c r="D58" s="28" t="str">
        <f>IF($B58="","",DATEVALUE(LEFT('Rover CSV Data'!G58,FIND(" ",'Rover CSV Data'!G58)-1))+TIMEVALUE(MID('Rover CSV Data'!G58,LEN('Rover CSV Data'!G58)-FIND(" ",'Rover CSV Data'!G58),(FIND(" UTC",'Rover CSV Data'!G58))-(LEN('Rover CSV Data'!G58)-FIND(" ",'Rover CSV Data'!G58)))))</f>
        <v/>
      </c>
      <c r="E58" s="29" t="str">
        <f t="shared" si="1"/>
        <v/>
      </c>
      <c r="F58" s="26" t="str">
        <f>IF($B58="","",'Rover CSV Data'!J58)</f>
        <v/>
      </c>
      <c r="G58" s="26" t="str">
        <f>IF($B58="","",AVERAGEIFS(POS_Lat,POS_Time,"&gt;="&amp;($C58+CONVERT(Variables!$C$12,"sec","day")),POS_Time,"&lt;="&amp;($D58-CONVERT(Variables!$C$12+1,"sec","day")),POS_Q,"&lt;="&amp;Variables!$C$11))</f>
        <v/>
      </c>
      <c r="H58" s="26" t="str">
        <f>IF($B58="","",AVERAGEIFS(POS_Long,POS_Time,"&gt;="&amp;($C58+CONVERT(Variables!$C$12,"sec","day")),POS_Time,"&lt;="&amp;($D58-CONVERT(Variables!$C$12+1,"sec","day")),POS_Q,"&lt;="&amp;Variables!$C$11))</f>
        <v/>
      </c>
      <c r="I58" s="30" t="str">
        <f>IF($B58="","",AVERAGEIFS(POS_elev,POS_Time,"&gt;="&amp;($C58+CONVERT(Variables!$C$12,"sec","day")),POS_Time,"&lt;="&amp;($D58-CONVERT(Variables!$C$12+1,"sec","day")),POS_Q,"&lt;="&amp;Variables!$C$11)-S58)</f>
        <v/>
      </c>
      <c r="J58" s="26" t="str">
        <f>IF($B58="","",'Rover CSV Data'!D58)</f>
        <v/>
      </c>
      <c r="K58" s="26" t="str">
        <f>IF($B58="","",'Rover CSV Data'!C58)</f>
        <v/>
      </c>
      <c r="L58" s="26" t="str">
        <f>IF($B58="","",'Rover CSV Data'!E58)</f>
        <v/>
      </c>
      <c r="M58" s="30" t="str">
        <f>IF($B58="","",AVERAGEIFS(sdn,POS_Time,"&gt;="&amp;($C58+CONVERT(Variables!$C$12,"sec","day")),POS_Time,"&lt;="&amp;($D58-CONVERT(Variables!$C$12+1,"sec","day")),POS_Q,"&lt;="&amp;Variables!$C$11))</f>
        <v/>
      </c>
      <c r="N58" s="31" t="str">
        <f>IF($B58="","",AVERAGEIFS(sde,POS_Time,"&gt;="&amp;($C58+CONVERT(Variables!$C$12,"sec","day")),POS_Time,"&lt;="&amp;($D58-CONVERT(Variables!$C$12+1,"sec","day")),POS_Q,"&lt;="&amp;Variables!$C$11))</f>
        <v/>
      </c>
      <c r="O58" s="31" t="str">
        <f>IF($B58="","",AVERAGEIFS(sdu,POS_Time,"&gt;="&amp;($C58+CONVERT(Variables!$C$12,"sec","day")),POS_Time,"&lt;="&amp;($D58-CONVERT(Variables!$C$12+1,"sec","day")),POS_Q,"&lt;="&amp;Variables!$C$11))</f>
        <v/>
      </c>
      <c r="P58" s="32" t="str">
        <f t="array" ref="P58">IF($B58="","",STDEV(IF(POS_Time&gt;=($C58+CONVERT(Variables!$C$12,"sec","day")),IF(POS_Time&lt;=($D58-CONVERT(Variables!$C$12+1,"sec","day")),IF(POS_Q&lt;=Variables!$C$11,POS_Lat)))))</f>
        <v/>
      </c>
      <c r="Q58" s="32" t="str">
        <f t="array" ref="Q58">IF($B58="","",STDEV(IF(POS_Time&gt;=($C58+CONVERT(Variables!$C$12,"sec","day")),IF(POS_Time&lt;=($D58-CONVERT(Variables!$C$12+1,"sec","day")),IF(POS_Q&lt;=Variables!$C$11,POS_Long)))))</f>
        <v/>
      </c>
      <c r="R58" s="32" t="str">
        <f t="array" ref="R58">IF($B58="","",STDEV(IF(POS_Time&gt;=($C58+CONVERT(Variables!$C$12,"sec","day")),IF(POS_Time&lt;=($D58-CONVERT(Variables!$C$12+1,"sec","day")),IF(POS_Q&lt;=Variables!$C$11,POS_elev)))))</f>
        <v/>
      </c>
      <c r="S58" s="30" t="str">
        <f>IF($B58="","",'Rover CSV Data'!K58)</f>
        <v/>
      </c>
      <c r="T58" s="26" t="str">
        <f>IF($B58="","",COUNTIFS(POS_Time,"&gt;="&amp;($C58+CONVERT(Variables!$C$12,"sec","day")),POS_Time,"&lt;="&amp;($D58-CONVERT(Variables!$C$12+1,"sec","day")),POS_Q,"&lt;="&amp;Variables!$C$11))</f>
        <v/>
      </c>
      <c r="U58" s="26" t="str">
        <f>IF($B58="","",IF(1&gt;Variables!$C$11,0,COUNTIFS(POS_Time,"&gt;="&amp;($C58+CONVERT(Variables!$C$12,"sec","day")),POS_Time,"&lt;="&amp;($D58-CONVERT(Variables!$C$12+1,"sec","day")),POS_Q,"=1")))</f>
        <v/>
      </c>
      <c r="V58" s="26" t="str">
        <f>IF($B58="","",IF(2&gt;Variables!$C$11,0,COUNTIFS(POS_Time,"&gt;="&amp;($C58+CONVERT(Variables!$C$12,"sec","day")),POS_Time,"&lt;="&amp;($D58-CONVERT(Variables!$C$12+1,"sec","day")),POS_Q,"=2")))</f>
        <v/>
      </c>
      <c r="W58" s="26" t="str">
        <f>IF($B58="","",IF(3&gt;Variables!$C$11,0,COUNTIFS(POS_Time,"&gt;="&amp;($C58+CONVERT(Variables!$C$12,"sec","day")),POS_Time,"&lt;="&amp;($D58-CONVERT(Variables!$C$12+1,"sec","day")),POS_Q,"=3")))</f>
        <v/>
      </c>
      <c r="X58" s="26" t="str">
        <f>IF($B58="","",IF(4&gt;Variables!$C$11,0,COUNTIFS(POS_Time,"&gt;="&amp;($C58+CONVERT(Variables!$C$12,"sec","day")),POS_Time,"&lt;="&amp;($D58-CONVERT(Variables!$C$12+1,"sec","day")),POS_Q,"=4")))</f>
        <v/>
      </c>
      <c r="Y58" s="26" t="str">
        <f>IF($B58="","",IF(5&gt;Variables!$C$11,0,COUNTIFS(POS_Time,"&gt;="&amp;($C58+CONVERT(Variables!$C$12,"sec","day")),POS_Time,"&lt;="&amp;($D58-CONVERT(Variables!$C$12+1,"sec","day")),POS_Q,"=5")))</f>
        <v/>
      </c>
      <c r="Z58" s="26" t="str">
        <f>IF($B58="","",IF(6&gt;Variables!$C$11,0,COUNTIFS(POS_Time,"&gt;="&amp;($C58+CONVERT(Variables!$C$12,"sec","day")),POS_Time,"&lt;="&amp;($D58-CONVERT(Variables!$C$12+1,"sec","day")),POS_Q,"=6")))</f>
        <v/>
      </c>
    </row>
    <row r="59" spans="1:26" x14ac:dyDescent="0.25">
      <c r="A59" s="2">
        <v>58</v>
      </c>
      <c r="B59" s="27" t="str">
        <f>IF((ROW()-1)&lt;=RoverStations,'Rover CSV Data'!B59,"")</f>
        <v/>
      </c>
      <c r="C59" s="28" t="str">
        <f>IF($B59="","",DATEVALUE(LEFT('Rover CSV Data'!F59,FIND(" ",'Rover CSV Data'!F59)-1))+TIMEVALUE(MID('Rover CSV Data'!F59,LEN('Rover CSV Data'!F59)-FIND(" ",'Rover CSV Data'!F59),(FIND(" UTC",'Rover CSV Data'!F59))-(LEN('Rover CSV Data'!F59)-FIND(" ",'Rover CSV Data'!F59)))))</f>
        <v/>
      </c>
      <c r="D59" s="28" t="str">
        <f>IF($B59="","",DATEVALUE(LEFT('Rover CSV Data'!G59,FIND(" ",'Rover CSV Data'!G59)-1))+TIMEVALUE(MID('Rover CSV Data'!G59,LEN('Rover CSV Data'!G59)-FIND(" ",'Rover CSV Data'!G59),(FIND(" UTC",'Rover CSV Data'!G59))-(LEN('Rover CSV Data'!G59)-FIND(" ",'Rover CSV Data'!G59)))))</f>
        <v/>
      </c>
      <c r="E59" s="29" t="str">
        <f t="shared" si="1"/>
        <v/>
      </c>
      <c r="F59" s="26" t="str">
        <f>IF($B59="","",'Rover CSV Data'!J59)</f>
        <v/>
      </c>
      <c r="G59" s="26" t="str">
        <f>IF($B59="","",AVERAGEIFS(POS_Lat,POS_Time,"&gt;="&amp;($C59+CONVERT(Variables!$C$12,"sec","day")),POS_Time,"&lt;="&amp;($D59-CONVERT(Variables!$C$12+1,"sec","day")),POS_Q,"&lt;="&amp;Variables!$C$11))</f>
        <v/>
      </c>
      <c r="H59" s="26" t="str">
        <f>IF($B59="","",AVERAGEIFS(POS_Long,POS_Time,"&gt;="&amp;($C59+CONVERT(Variables!$C$12,"sec","day")),POS_Time,"&lt;="&amp;($D59-CONVERT(Variables!$C$12+1,"sec","day")),POS_Q,"&lt;="&amp;Variables!$C$11))</f>
        <v/>
      </c>
      <c r="I59" s="30" t="str">
        <f>IF($B59="","",AVERAGEIFS(POS_elev,POS_Time,"&gt;="&amp;($C59+CONVERT(Variables!$C$12,"sec","day")),POS_Time,"&lt;="&amp;($D59-CONVERT(Variables!$C$12+1,"sec","day")),POS_Q,"&lt;="&amp;Variables!$C$11)-S59)</f>
        <v/>
      </c>
      <c r="J59" s="26" t="str">
        <f>IF($B59="","",'Rover CSV Data'!D59)</f>
        <v/>
      </c>
      <c r="K59" s="26" t="str">
        <f>IF($B59="","",'Rover CSV Data'!C59)</f>
        <v/>
      </c>
      <c r="L59" s="26" t="str">
        <f>IF($B59="","",'Rover CSV Data'!E59)</f>
        <v/>
      </c>
      <c r="M59" s="30" t="str">
        <f>IF($B59="","",AVERAGEIFS(sdn,POS_Time,"&gt;="&amp;($C59+CONVERT(Variables!$C$12,"sec","day")),POS_Time,"&lt;="&amp;($D59-CONVERT(Variables!$C$12+1,"sec","day")),POS_Q,"&lt;="&amp;Variables!$C$11))</f>
        <v/>
      </c>
      <c r="N59" s="31" t="str">
        <f>IF($B59="","",AVERAGEIFS(sde,POS_Time,"&gt;="&amp;($C59+CONVERT(Variables!$C$12,"sec","day")),POS_Time,"&lt;="&amp;($D59-CONVERT(Variables!$C$12+1,"sec","day")),POS_Q,"&lt;="&amp;Variables!$C$11))</f>
        <v/>
      </c>
      <c r="O59" s="31" t="str">
        <f>IF($B59="","",AVERAGEIFS(sdu,POS_Time,"&gt;="&amp;($C59+CONVERT(Variables!$C$12,"sec","day")),POS_Time,"&lt;="&amp;($D59-CONVERT(Variables!$C$12+1,"sec","day")),POS_Q,"&lt;="&amp;Variables!$C$11))</f>
        <v/>
      </c>
      <c r="P59" s="32" t="str">
        <f t="array" ref="P59">IF($B59="","",STDEV(IF(POS_Time&gt;=($C59+CONVERT(Variables!$C$12,"sec","day")),IF(POS_Time&lt;=($D59-CONVERT(Variables!$C$12+1,"sec","day")),IF(POS_Q&lt;=Variables!$C$11,POS_Lat)))))</f>
        <v/>
      </c>
      <c r="Q59" s="32" t="str">
        <f t="array" ref="Q59">IF($B59="","",STDEV(IF(POS_Time&gt;=($C59+CONVERT(Variables!$C$12,"sec","day")),IF(POS_Time&lt;=($D59-CONVERT(Variables!$C$12+1,"sec","day")),IF(POS_Q&lt;=Variables!$C$11,POS_Long)))))</f>
        <v/>
      </c>
      <c r="R59" s="32" t="str">
        <f t="array" ref="R59">IF($B59="","",STDEV(IF(POS_Time&gt;=($C59+CONVERT(Variables!$C$12,"sec","day")),IF(POS_Time&lt;=($D59-CONVERT(Variables!$C$12+1,"sec","day")),IF(POS_Q&lt;=Variables!$C$11,POS_elev)))))</f>
        <v/>
      </c>
      <c r="S59" s="30" t="str">
        <f>IF($B59="","",'Rover CSV Data'!K59)</f>
        <v/>
      </c>
      <c r="T59" s="26" t="str">
        <f>IF($B59="","",COUNTIFS(POS_Time,"&gt;="&amp;($C59+CONVERT(Variables!$C$12,"sec","day")),POS_Time,"&lt;="&amp;($D59-CONVERT(Variables!$C$12+1,"sec","day")),POS_Q,"&lt;="&amp;Variables!$C$11))</f>
        <v/>
      </c>
      <c r="U59" s="26" t="str">
        <f>IF($B59="","",IF(1&gt;Variables!$C$11,0,COUNTIFS(POS_Time,"&gt;="&amp;($C59+CONVERT(Variables!$C$12,"sec","day")),POS_Time,"&lt;="&amp;($D59-CONVERT(Variables!$C$12+1,"sec","day")),POS_Q,"=1")))</f>
        <v/>
      </c>
      <c r="V59" s="26" t="str">
        <f>IF($B59="","",IF(2&gt;Variables!$C$11,0,COUNTIFS(POS_Time,"&gt;="&amp;($C59+CONVERT(Variables!$C$12,"sec","day")),POS_Time,"&lt;="&amp;($D59-CONVERT(Variables!$C$12+1,"sec","day")),POS_Q,"=2")))</f>
        <v/>
      </c>
      <c r="W59" s="26" t="str">
        <f>IF($B59="","",IF(3&gt;Variables!$C$11,0,COUNTIFS(POS_Time,"&gt;="&amp;($C59+CONVERT(Variables!$C$12,"sec","day")),POS_Time,"&lt;="&amp;($D59-CONVERT(Variables!$C$12+1,"sec","day")),POS_Q,"=3")))</f>
        <v/>
      </c>
      <c r="X59" s="26" t="str">
        <f>IF($B59="","",IF(4&gt;Variables!$C$11,0,COUNTIFS(POS_Time,"&gt;="&amp;($C59+CONVERT(Variables!$C$12,"sec","day")),POS_Time,"&lt;="&amp;($D59-CONVERT(Variables!$C$12+1,"sec","day")),POS_Q,"=4")))</f>
        <v/>
      </c>
      <c r="Y59" s="26" t="str">
        <f>IF($B59="","",IF(5&gt;Variables!$C$11,0,COUNTIFS(POS_Time,"&gt;="&amp;($C59+CONVERT(Variables!$C$12,"sec","day")),POS_Time,"&lt;="&amp;($D59-CONVERT(Variables!$C$12+1,"sec","day")),POS_Q,"=5")))</f>
        <v/>
      </c>
      <c r="Z59" s="26" t="str">
        <f>IF($B59="","",IF(6&gt;Variables!$C$11,0,COUNTIFS(POS_Time,"&gt;="&amp;($C59+CONVERT(Variables!$C$12,"sec","day")),POS_Time,"&lt;="&amp;($D59-CONVERT(Variables!$C$12+1,"sec","day")),POS_Q,"=6")))</f>
        <v/>
      </c>
    </row>
    <row r="60" spans="1:26" x14ac:dyDescent="0.25">
      <c r="A60" s="2">
        <v>59</v>
      </c>
      <c r="B60" s="27" t="str">
        <f>IF((ROW()-1)&lt;=RoverStations,'Rover CSV Data'!B60,"")</f>
        <v/>
      </c>
      <c r="C60" s="28" t="str">
        <f>IF($B60="","",DATEVALUE(LEFT('Rover CSV Data'!F60,FIND(" ",'Rover CSV Data'!F60)-1))+TIMEVALUE(MID('Rover CSV Data'!F60,LEN('Rover CSV Data'!F60)-FIND(" ",'Rover CSV Data'!F60),(FIND(" UTC",'Rover CSV Data'!F60))-(LEN('Rover CSV Data'!F60)-FIND(" ",'Rover CSV Data'!F60)))))</f>
        <v/>
      </c>
      <c r="D60" s="28" t="str">
        <f>IF($B60="","",DATEVALUE(LEFT('Rover CSV Data'!G60,FIND(" ",'Rover CSV Data'!G60)-1))+TIMEVALUE(MID('Rover CSV Data'!G60,LEN('Rover CSV Data'!G60)-FIND(" ",'Rover CSV Data'!G60),(FIND(" UTC",'Rover CSV Data'!G60))-(LEN('Rover CSV Data'!G60)-FIND(" ",'Rover CSV Data'!G60)))))</f>
        <v/>
      </c>
      <c r="E60" s="29" t="str">
        <f t="shared" si="1"/>
        <v/>
      </c>
      <c r="F60" s="26" t="str">
        <f>IF($B60="","",'Rover CSV Data'!J60)</f>
        <v/>
      </c>
      <c r="G60" s="26" t="str">
        <f>IF($B60="","",AVERAGEIFS(POS_Lat,POS_Time,"&gt;="&amp;($C60+CONVERT(Variables!$C$12,"sec","day")),POS_Time,"&lt;="&amp;($D60-CONVERT(Variables!$C$12+1,"sec","day")),POS_Q,"&lt;="&amp;Variables!$C$11))</f>
        <v/>
      </c>
      <c r="H60" s="26" t="str">
        <f>IF($B60="","",AVERAGEIFS(POS_Long,POS_Time,"&gt;="&amp;($C60+CONVERT(Variables!$C$12,"sec","day")),POS_Time,"&lt;="&amp;($D60-CONVERT(Variables!$C$12+1,"sec","day")),POS_Q,"&lt;="&amp;Variables!$C$11))</f>
        <v/>
      </c>
      <c r="I60" s="30" t="str">
        <f>IF($B60="","",AVERAGEIFS(POS_elev,POS_Time,"&gt;="&amp;($C60+CONVERT(Variables!$C$12,"sec","day")),POS_Time,"&lt;="&amp;($D60-CONVERT(Variables!$C$12+1,"sec","day")),POS_Q,"&lt;="&amp;Variables!$C$11)-S60)</f>
        <v/>
      </c>
      <c r="J60" s="26" t="str">
        <f>IF($B60="","",'Rover CSV Data'!D60)</f>
        <v/>
      </c>
      <c r="K60" s="26" t="str">
        <f>IF($B60="","",'Rover CSV Data'!C60)</f>
        <v/>
      </c>
      <c r="L60" s="26" t="str">
        <f>IF($B60="","",'Rover CSV Data'!E60)</f>
        <v/>
      </c>
      <c r="M60" s="30" t="str">
        <f>IF($B60="","",AVERAGEIFS(sdn,POS_Time,"&gt;="&amp;($C60+CONVERT(Variables!$C$12,"sec","day")),POS_Time,"&lt;="&amp;($D60-CONVERT(Variables!$C$12+1,"sec","day")),POS_Q,"&lt;="&amp;Variables!$C$11))</f>
        <v/>
      </c>
      <c r="N60" s="31" t="str">
        <f>IF($B60="","",AVERAGEIFS(sde,POS_Time,"&gt;="&amp;($C60+CONVERT(Variables!$C$12,"sec","day")),POS_Time,"&lt;="&amp;($D60-CONVERT(Variables!$C$12+1,"sec","day")),POS_Q,"&lt;="&amp;Variables!$C$11))</f>
        <v/>
      </c>
      <c r="O60" s="31" t="str">
        <f>IF($B60="","",AVERAGEIFS(sdu,POS_Time,"&gt;="&amp;($C60+CONVERT(Variables!$C$12,"sec","day")),POS_Time,"&lt;="&amp;($D60-CONVERT(Variables!$C$12+1,"sec","day")),POS_Q,"&lt;="&amp;Variables!$C$11))</f>
        <v/>
      </c>
      <c r="P60" s="32" t="str">
        <f t="array" ref="P60">IF($B60="","",STDEV(IF(POS_Time&gt;=($C60+CONVERT(Variables!$C$12,"sec","day")),IF(POS_Time&lt;=($D60-CONVERT(Variables!$C$12+1,"sec","day")),IF(POS_Q&lt;=Variables!$C$11,POS_Lat)))))</f>
        <v/>
      </c>
      <c r="Q60" s="32" t="str">
        <f t="array" ref="Q60">IF($B60="","",STDEV(IF(POS_Time&gt;=($C60+CONVERT(Variables!$C$12,"sec","day")),IF(POS_Time&lt;=($D60-CONVERT(Variables!$C$12+1,"sec","day")),IF(POS_Q&lt;=Variables!$C$11,POS_Long)))))</f>
        <v/>
      </c>
      <c r="R60" s="32" t="str">
        <f t="array" ref="R60">IF($B60="","",STDEV(IF(POS_Time&gt;=($C60+CONVERT(Variables!$C$12,"sec","day")),IF(POS_Time&lt;=($D60-CONVERT(Variables!$C$12+1,"sec","day")),IF(POS_Q&lt;=Variables!$C$11,POS_elev)))))</f>
        <v/>
      </c>
      <c r="S60" s="30" t="str">
        <f>IF($B60="","",'Rover CSV Data'!K60)</f>
        <v/>
      </c>
      <c r="T60" s="26" t="str">
        <f>IF($B60="","",COUNTIFS(POS_Time,"&gt;="&amp;($C60+CONVERT(Variables!$C$12,"sec","day")),POS_Time,"&lt;="&amp;($D60-CONVERT(Variables!$C$12+1,"sec","day")),POS_Q,"&lt;="&amp;Variables!$C$11))</f>
        <v/>
      </c>
      <c r="U60" s="26" t="str">
        <f>IF($B60="","",IF(1&gt;Variables!$C$11,0,COUNTIFS(POS_Time,"&gt;="&amp;($C60+CONVERT(Variables!$C$12,"sec","day")),POS_Time,"&lt;="&amp;($D60-CONVERT(Variables!$C$12+1,"sec","day")),POS_Q,"=1")))</f>
        <v/>
      </c>
      <c r="V60" s="26" t="str">
        <f>IF($B60="","",IF(2&gt;Variables!$C$11,0,COUNTIFS(POS_Time,"&gt;="&amp;($C60+CONVERT(Variables!$C$12,"sec","day")),POS_Time,"&lt;="&amp;($D60-CONVERT(Variables!$C$12+1,"sec","day")),POS_Q,"=2")))</f>
        <v/>
      </c>
      <c r="W60" s="26" t="str">
        <f>IF($B60="","",IF(3&gt;Variables!$C$11,0,COUNTIFS(POS_Time,"&gt;="&amp;($C60+CONVERT(Variables!$C$12,"sec","day")),POS_Time,"&lt;="&amp;($D60-CONVERT(Variables!$C$12+1,"sec","day")),POS_Q,"=3")))</f>
        <v/>
      </c>
      <c r="X60" s="26" t="str">
        <f>IF($B60="","",IF(4&gt;Variables!$C$11,0,COUNTIFS(POS_Time,"&gt;="&amp;($C60+CONVERT(Variables!$C$12,"sec","day")),POS_Time,"&lt;="&amp;($D60-CONVERT(Variables!$C$12+1,"sec","day")),POS_Q,"=4")))</f>
        <v/>
      </c>
      <c r="Y60" s="26" t="str">
        <f>IF($B60="","",IF(5&gt;Variables!$C$11,0,COUNTIFS(POS_Time,"&gt;="&amp;($C60+CONVERT(Variables!$C$12,"sec","day")),POS_Time,"&lt;="&amp;($D60-CONVERT(Variables!$C$12+1,"sec","day")),POS_Q,"=5")))</f>
        <v/>
      </c>
      <c r="Z60" s="26" t="str">
        <f>IF($B60="","",IF(6&gt;Variables!$C$11,0,COUNTIFS(POS_Time,"&gt;="&amp;($C60+CONVERT(Variables!$C$12,"sec","day")),POS_Time,"&lt;="&amp;($D60-CONVERT(Variables!$C$12+1,"sec","day")),POS_Q,"=6")))</f>
        <v/>
      </c>
    </row>
    <row r="61" spans="1:26" x14ac:dyDescent="0.25">
      <c r="A61" s="2">
        <v>60</v>
      </c>
      <c r="B61" s="27" t="str">
        <f>IF((ROW()-1)&lt;=RoverStations,'Rover CSV Data'!B61,"")</f>
        <v/>
      </c>
      <c r="C61" s="28" t="str">
        <f>IF($B61="","",DATEVALUE(LEFT('Rover CSV Data'!F61,FIND(" ",'Rover CSV Data'!F61)-1))+TIMEVALUE(MID('Rover CSV Data'!F61,LEN('Rover CSV Data'!F61)-FIND(" ",'Rover CSV Data'!F61),(FIND(" UTC",'Rover CSV Data'!F61))-(LEN('Rover CSV Data'!F61)-FIND(" ",'Rover CSV Data'!F61)))))</f>
        <v/>
      </c>
      <c r="D61" s="28" t="str">
        <f>IF($B61="","",DATEVALUE(LEFT('Rover CSV Data'!G61,FIND(" ",'Rover CSV Data'!G61)-1))+TIMEVALUE(MID('Rover CSV Data'!G61,LEN('Rover CSV Data'!G61)-FIND(" ",'Rover CSV Data'!G61),(FIND(" UTC",'Rover CSV Data'!G61))-(LEN('Rover CSV Data'!G61)-FIND(" ",'Rover CSV Data'!G61)))))</f>
        <v/>
      </c>
      <c r="E61" s="29" t="str">
        <f t="shared" si="1"/>
        <v/>
      </c>
      <c r="F61" s="26" t="str">
        <f>IF($B61="","",'Rover CSV Data'!J61)</f>
        <v/>
      </c>
      <c r="G61" s="26" t="str">
        <f>IF($B61="","",AVERAGEIFS(POS_Lat,POS_Time,"&gt;="&amp;($C61+CONVERT(Variables!$C$12,"sec","day")),POS_Time,"&lt;="&amp;($D61-CONVERT(Variables!$C$12+1,"sec","day")),POS_Q,"&lt;="&amp;Variables!$C$11))</f>
        <v/>
      </c>
      <c r="H61" s="26" t="str">
        <f>IF($B61="","",AVERAGEIFS(POS_Long,POS_Time,"&gt;="&amp;($C61+CONVERT(Variables!$C$12,"sec","day")),POS_Time,"&lt;="&amp;($D61-CONVERT(Variables!$C$12+1,"sec","day")),POS_Q,"&lt;="&amp;Variables!$C$11))</f>
        <v/>
      </c>
      <c r="I61" s="30" t="str">
        <f>IF($B61="","",AVERAGEIFS(POS_elev,POS_Time,"&gt;="&amp;($C61+CONVERT(Variables!$C$12,"sec","day")),POS_Time,"&lt;="&amp;($D61-CONVERT(Variables!$C$12+1,"sec","day")),POS_Q,"&lt;="&amp;Variables!$C$11)-S61)</f>
        <v/>
      </c>
      <c r="J61" s="26" t="str">
        <f>IF($B61="","",'Rover CSV Data'!D61)</f>
        <v/>
      </c>
      <c r="K61" s="26" t="str">
        <f>IF($B61="","",'Rover CSV Data'!C61)</f>
        <v/>
      </c>
      <c r="L61" s="26" t="str">
        <f>IF($B61="","",'Rover CSV Data'!E61)</f>
        <v/>
      </c>
      <c r="M61" s="30" t="str">
        <f>IF($B61="","",AVERAGEIFS(sdn,POS_Time,"&gt;="&amp;($C61+CONVERT(Variables!$C$12,"sec","day")),POS_Time,"&lt;="&amp;($D61-CONVERT(Variables!$C$12+1,"sec","day")),POS_Q,"&lt;="&amp;Variables!$C$11))</f>
        <v/>
      </c>
      <c r="N61" s="31" t="str">
        <f>IF($B61="","",AVERAGEIFS(sde,POS_Time,"&gt;="&amp;($C61+CONVERT(Variables!$C$12,"sec","day")),POS_Time,"&lt;="&amp;($D61-CONVERT(Variables!$C$12+1,"sec","day")),POS_Q,"&lt;="&amp;Variables!$C$11))</f>
        <v/>
      </c>
      <c r="O61" s="31" t="str">
        <f>IF($B61="","",AVERAGEIFS(sdu,POS_Time,"&gt;="&amp;($C61+CONVERT(Variables!$C$12,"sec","day")),POS_Time,"&lt;="&amp;($D61-CONVERT(Variables!$C$12+1,"sec","day")),POS_Q,"&lt;="&amp;Variables!$C$11))</f>
        <v/>
      </c>
      <c r="P61" s="32" t="str">
        <f t="array" ref="P61">IF($B61="","",STDEV(IF(POS_Time&gt;=($C61+CONVERT(Variables!$C$12,"sec","day")),IF(POS_Time&lt;=($D61-CONVERT(Variables!$C$12+1,"sec","day")),IF(POS_Q&lt;=Variables!$C$11,POS_Lat)))))</f>
        <v/>
      </c>
      <c r="Q61" s="32" t="str">
        <f t="array" ref="Q61">IF($B61="","",STDEV(IF(POS_Time&gt;=($C61+CONVERT(Variables!$C$12,"sec","day")),IF(POS_Time&lt;=($D61-CONVERT(Variables!$C$12+1,"sec","day")),IF(POS_Q&lt;=Variables!$C$11,POS_Long)))))</f>
        <v/>
      </c>
      <c r="R61" s="32" t="str">
        <f t="array" ref="R61">IF($B61="","",STDEV(IF(POS_Time&gt;=($C61+CONVERT(Variables!$C$12,"sec","day")),IF(POS_Time&lt;=($D61-CONVERT(Variables!$C$12+1,"sec","day")),IF(POS_Q&lt;=Variables!$C$11,POS_elev)))))</f>
        <v/>
      </c>
      <c r="S61" s="30" t="str">
        <f>IF($B61="","",'Rover CSV Data'!K61)</f>
        <v/>
      </c>
      <c r="T61" s="26" t="str">
        <f>IF($B61="","",COUNTIFS(POS_Time,"&gt;="&amp;($C61+CONVERT(Variables!$C$12,"sec","day")),POS_Time,"&lt;="&amp;($D61-CONVERT(Variables!$C$12+1,"sec","day")),POS_Q,"&lt;="&amp;Variables!$C$11))</f>
        <v/>
      </c>
      <c r="U61" s="26" t="str">
        <f>IF($B61="","",IF(1&gt;Variables!$C$11,0,COUNTIFS(POS_Time,"&gt;="&amp;($C61+CONVERT(Variables!$C$12,"sec","day")),POS_Time,"&lt;="&amp;($D61-CONVERT(Variables!$C$12+1,"sec","day")),POS_Q,"=1")))</f>
        <v/>
      </c>
      <c r="V61" s="26" t="str">
        <f>IF($B61="","",IF(2&gt;Variables!$C$11,0,COUNTIFS(POS_Time,"&gt;="&amp;($C61+CONVERT(Variables!$C$12,"sec","day")),POS_Time,"&lt;="&amp;($D61-CONVERT(Variables!$C$12+1,"sec","day")),POS_Q,"=2")))</f>
        <v/>
      </c>
      <c r="W61" s="26" t="str">
        <f>IF($B61="","",IF(3&gt;Variables!$C$11,0,COUNTIFS(POS_Time,"&gt;="&amp;($C61+CONVERT(Variables!$C$12,"sec","day")),POS_Time,"&lt;="&amp;($D61-CONVERT(Variables!$C$12+1,"sec","day")),POS_Q,"=3")))</f>
        <v/>
      </c>
      <c r="X61" s="26" t="str">
        <f>IF($B61="","",IF(4&gt;Variables!$C$11,0,COUNTIFS(POS_Time,"&gt;="&amp;($C61+CONVERT(Variables!$C$12,"sec","day")),POS_Time,"&lt;="&amp;($D61-CONVERT(Variables!$C$12+1,"sec","day")),POS_Q,"=4")))</f>
        <v/>
      </c>
      <c r="Y61" s="26" t="str">
        <f>IF($B61="","",IF(5&gt;Variables!$C$11,0,COUNTIFS(POS_Time,"&gt;="&amp;($C61+CONVERT(Variables!$C$12,"sec","day")),POS_Time,"&lt;="&amp;($D61-CONVERT(Variables!$C$12+1,"sec","day")),POS_Q,"=5")))</f>
        <v/>
      </c>
      <c r="Z61" s="26" t="str">
        <f>IF($B61="","",IF(6&gt;Variables!$C$11,0,COUNTIFS(POS_Time,"&gt;="&amp;($C61+CONVERT(Variables!$C$12,"sec","day")),POS_Time,"&lt;="&amp;($D61-CONVERT(Variables!$C$12+1,"sec","day")),POS_Q,"=6")))</f>
        <v/>
      </c>
    </row>
    <row r="62" spans="1:26" x14ac:dyDescent="0.25">
      <c r="A62" s="2">
        <v>61</v>
      </c>
      <c r="B62" s="27" t="str">
        <f>IF((ROW()-1)&lt;=RoverStations,'Rover CSV Data'!B62,"")</f>
        <v/>
      </c>
      <c r="C62" s="28" t="str">
        <f>IF($B62="","",DATEVALUE(LEFT('Rover CSV Data'!F62,FIND(" ",'Rover CSV Data'!F62)-1))+TIMEVALUE(MID('Rover CSV Data'!F62,LEN('Rover CSV Data'!F62)-FIND(" ",'Rover CSV Data'!F62),(FIND(" UTC",'Rover CSV Data'!F62))-(LEN('Rover CSV Data'!F62)-FIND(" ",'Rover CSV Data'!F62)))))</f>
        <v/>
      </c>
      <c r="D62" s="28" t="str">
        <f>IF($B62="","",DATEVALUE(LEFT('Rover CSV Data'!G62,FIND(" ",'Rover CSV Data'!G62)-1))+TIMEVALUE(MID('Rover CSV Data'!G62,LEN('Rover CSV Data'!G62)-FIND(" ",'Rover CSV Data'!G62),(FIND(" UTC",'Rover CSV Data'!G62))-(LEN('Rover CSV Data'!G62)-FIND(" ",'Rover CSV Data'!G62)))))</f>
        <v/>
      </c>
      <c r="E62" s="29" t="str">
        <f t="shared" si="1"/>
        <v/>
      </c>
      <c r="F62" s="26" t="str">
        <f>IF($B62="","",'Rover CSV Data'!J62)</f>
        <v/>
      </c>
      <c r="G62" s="26" t="str">
        <f>IF($B62="","",AVERAGEIFS(POS_Lat,POS_Time,"&gt;="&amp;($C62+CONVERT(Variables!$C$12,"sec","day")),POS_Time,"&lt;="&amp;($D62-CONVERT(Variables!$C$12+1,"sec","day")),POS_Q,"&lt;="&amp;Variables!$C$11))</f>
        <v/>
      </c>
      <c r="H62" s="26" t="str">
        <f>IF($B62="","",AVERAGEIFS(POS_Long,POS_Time,"&gt;="&amp;($C62+CONVERT(Variables!$C$12,"sec","day")),POS_Time,"&lt;="&amp;($D62-CONVERT(Variables!$C$12+1,"sec","day")),POS_Q,"&lt;="&amp;Variables!$C$11))</f>
        <v/>
      </c>
      <c r="I62" s="30" t="str">
        <f>IF($B62="","",AVERAGEIFS(POS_elev,POS_Time,"&gt;="&amp;($C62+CONVERT(Variables!$C$12,"sec","day")),POS_Time,"&lt;="&amp;($D62-CONVERT(Variables!$C$12+1,"sec","day")),POS_Q,"&lt;="&amp;Variables!$C$11)-S62)</f>
        <v/>
      </c>
      <c r="J62" s="26" t="str">
        <f>IF($B62="","",'Rover CSV Data'!D62)</f>
        <v/>
      </c>
      <c r="K62" s="26" t="str">
        <f>IF($B62="","",'Rover CSV Data'!C62)</f>
        <v/>
      </c>
      <c r="L62" s="26" t="str">
        <f>IF($B62="","",'Rover CSV Data'!E62)</f>
        <v/>
      </c>
      <c r="M62" s="30" t="str">
        <f>IF($B62="","",AVERAGEIFS(sdn,POS_Time,"&gt;="&amp;($C62+CONVERT(Variables!$C$12,"sec","day")),POS_Time,"&lt;="&amp;($D62-CONVERT(Variables!$C$12+1,"sec","day")),POS_Q,"&lt;="&amp;Variables!$C$11))</f>
        <v/>
      </c>
      <c r="N62" s="31" t="str">
        <f>IF($B62="","",AVERAGEIFS(sde,POS_Time,"&gt;="&amp;($C62+CONVERT(Variables!$C$12,"sec","day")),POS_Time,"&lt;="&amp;($D62-CONVERT(Variables!$C$12+1,"sec","day")),POS_Q,"&lt;="&amp;Variables!$C$11))</f>
        <v/>
      </c>
      <c r="O62" s="31" t="str">
        <f>IF($B62="","",AVERAGEIFS(sdu,POS_Time,"&gt;="&amp;($C62+CONVERT(Variables!$C$12,"sec","day")),POS_Time,"&lt;="&amp;($D62-CONVERT(Variables!$C$12+1,"sec","day")),POS_Q,"&lt;="&amp;Variables!$C$11))</f>
        <v/>
      </c>
      <c r="P62" s="32" t="str">
        <f t="array" ref="P62">IF($B62="","",STDEV(IF(POS_Time&gt;=($C62+CONVERT(Variables!$C$12,"sec","day")),IF(POS_Time&lt;=($D62-CONVERT(Variables!$C$12+1,"sec","day")),IF(POS_Q&lt;=Variables!$C$11,POS_Lat)))))</f>
        <v/>
      </c>
      <c r="Q62" s="32" t="str">
        <f t="array" ref="Q62">IF($B62="","",STDEV(IF(POS_Time&gt;=($C62+CONVERT(Variables!$C$12,"sec","day")),IF(POS_Time&lt;=($D62-CONVERT(Variables!$C$12+1,"sec","day")),IF(POS_Q&lt;=Variables!$C$11,POS_Long)))))</f>
        <v/>
      </c>
      <c r="R62" s="32" t="str">
        <f t="array" ref="R62">IF($B62="","",STDEV(IF(POS_Time&gt;=($C62+CONVERT(Variables!$C$12,"sec","day")),IF(POS_Time&lt;=($D62-CONVERT(Variables!$C$12+1,"sec","day")),IF(POS_Q&lt;=Variables!$C$11,POS_elev)))))</f>
        <v/>
      </c>
      <c r="S62" s="30" t="str">
        <f>IF($B62="","",'Rover CSV Data'!K62)</f>
        <v/>
      </c>
      <c r="T62" s="26" t="str">
        <f>IF($B62="","",COUNTIFS(POS_Time,"&gt;="&amp;($C62+CONVERT(Variables!$C$12,"sec","day")),POS_Time,"&lt;="&amp;($D62-CONVERT(Variables!$C$12+1,"sec","day")),POS_Q,"&lt;="&amp;Variables!$C$11))</f>
        <v/>
      </c>
      <c r="U62" s="26" t="str">
        <f>IF($B62="","",IF(1&gt;Variables!$C$11,0,COUNTIFS(POS_Time,"&gt;="&amp;($C62+CONVERT(Variables!$C$12,"sec","day")),POS_Time,"&lt;="&amp;($D62-CONVERT(Variables!$C$12+1,"sec","day")),POS_Q,"=1")))</f>
        <v/>
      </c>
      <c r="V62" s="26" t="str">
        <f>IF($B62="","",IF(2&gt;Variables!$C$11,0,COUNTIFS(POS_Time,"&gt;="&amp;($C62+CONVERT(Variables!$C$12,"sec","day")),POS_Time,"&lt;="&amp;($D62-CONVERT(Variables!$C$12+1,"sec","day")),POS_Q,"=2")))</f>
        <v/>
      </c>
      <c r="W62" s="26" t="str">
        <f>IF($B62="","",IF(3&gt;Variables!$C$11,0,COUNTIFS(POS_Time,"&gt;="&amp;($C62+CONVERT(Variables!$C$12,"sec","day")),POS_Time,"&lt;="&amp;($D62-CONVERT(Variables!$C$12+1,"sec","day")),POS_Q,"=3")))</f>
        <v/>
      </c>
      <c r="X62" s="26" t="str">
        <f>IF($B62="","",IF(4&gt;Variables!$C$11,0,COUNTIFS(POS_Time,"&gt;="&amp;($C62+CONVERT(Variables!$C$12,"sec","day")),POS_Time,"&lt;="&amp;($D62-CONVERT(Variables!$C$12+1,"sec","day")),POS_Q,"=4")))</f>
        <v/>
      </c>
      <c r="Y62" s="26" t="str">
        <f>IF($B62="","",IF(5&gt;Variables!$C$11,0,COUNTIFS(POS_Time,"&gt;="&amp;($C62+CONVERT(Variables!$C$12,"sec","day")),POS_Time,"&lt;="&amp;($D62-CONVERT(Variables!$C$12+1,"sec","day")),POS_Q,"=5")))</f>
        <v/>
      </c>
      <c r="Z62" s="26" t="str">
        <f>IF($B62="","",IF(6&gt;Variables!$C$11,0,COUNTIFS(POS_Time,"&gt;="&amp;($C62+CONVERT(Variables!$C$12,"sec","day")),POS_Time,"&lt;="&amp;($D62-CONVERT(Variables!$C$12+1,"sec","day")),POS_Q,"=6")))</f>
        <v/>
      </c>
    </row>
    <row r="63" spans="1:26" x14ac:dyDescent="0.25">
      <c r="A63" s="2">
        <v>62</v>
      </c>
      <c r="B63" s="27" t="str">
        <f>IF((ROW()-1)&lt;=RoverStations,'Rover CSV Data'!B63,"")</f>
        <v/>
      </c>
      <c r="C63" s="28" t="str">
        <f>IF($B63="","",DATEVALUE(LEFT('Rover CSV Data'!F63,FIND(" ",'Rover CSV Data'!F63)-1))+TIMEVALUE(MID('Rover CSV Data'!F63,LEN('Rover CSV Data'!F63)-FIND(" ",'Rover CSV Data'!F63),(FIND(" UTC",'Rover CSV Data'!F63))-(LEN('Rover CSV Data'!F63)-FIND(" ",'Rover CSV Data'!F63)))))</f>
        <v/>
      </c>
      <c r="D63" s="28" t="str">
        <f>IF($B63="","",DATEVALUE(LEFT('Rover CSV Data'!G63,FIND(" ",'Rover CSV Data'!G63)-1))+TIMEVALUE(MID('Rover CSV Data'!G63,LEN('Rover CSV Data'!G63)-FIND(" ",'Rover CSV Data'!G63),(FIND(" UTC",'Rover CSV Data'!G63))-(LEN('Rover CSV Data'!G63)-FIND(" ",'Rover CSV Data'!G63)))))</f>
        <v/>
      </c>
      <c r="E63" s="29" t="str">
        <f t="shared" si="1"/>
        <v/>
      </c>
      <c r="F63" s="26" t="str">
        <f>IF($B63="","",'Rover CSV Data'!J63)</f>
        <v/>
      </c>
      <c r="G63" s="26" t="str">
        <f>IF($B63="","",AVERAGEIFS(POS_Lat,POS_Time,"&gt;="&amp;($C63+CONVERT(Variables!$C$12,"sec","day")),POS_Time,"&lt;="&amp;($D63-CONVERT(Variables!$C$12+1,"sec","day")),POS_Q,"&lt;="&amp;Variables!$C$11))</f>
        <v/>
      </c>
      <c r="H63" s="26" t="str">
        <f>IF($B63="","",AVERAGEIFS(POS_Long,POS_Time,"&gt;="&amp;($C63+CONVERT(Variables!$C$12,"sec","day")),POS_Time,"&lt;="&amp;($D63-CONVERT(Variables!$C$12+1,"sec","day")),POS_Q,"&lt;="&amp;Variables!$C$11))</f>
        <v/>
      </c>
      <c r="I63" s="30" t="str">
        <f>IF($B63="","",AVERAGEIFS(POS_elev,POS_Time,"&gt;="&amp;($C63+CONVERT(Variables!$C$12,"sec","day")),POS_Time,"&lt;="&amp;($D63-CONVERT(Variables!$C$12+1,"sec","day")),POS_Q,"&lt;="&amp;Variables!$C$11)-S63)</f>
        <v/>
      </c>
      <c r="J63" s="26" t="str">
        <f>IF($B63="","",'Rover CSV Data'!D63)</f>
        <v/>
      </c>
      <c r="K63" s="26" t="str">
        <f>IF($B63="","",'Rover CSV Data'!C63)</f>
        <v/>
      </c>
      <c r="L63" s="26" t="str">
        <f>IF($B63="","",'Rover CSV Data'!E63)</f>
        <v/>
      </c>
      <c r="M63" s="30" t="str">
        <f>IF($B63="","",AVERAGEIFS(sdn,POS_Time,"&gt;="&amp;($C63+CONVERT(Variables!$C$12,"sec","day")),POS_Time,"&lt;="&amp;($D63-CONVERT(Variables!$C$12+1,"sec","day")),POS_Q,"&lt;="&amp;Variables!$C$11))</f>
        <v/>
      </c>
      <c r="N63" s="31" t="str">
        <f>IF($B63="","",AVERAGEIFS(sde,POS_Time,"&gt;="&amp;($C63+CONVERT(Variables!$C$12,"sec","day")),POS_Time,"&lt;="&amp;($D63-CONVERT(Variables!$C$12+1,"sec","day")),POS_Q,"&lt;="&amp;Variables!$C$11))</f>
        <v/>
      </c>
      <c r="O63" s="31" t="str">
        <f>IF($B63="","",AVERAGEIFS(sdu,POS_Time,"&gt;="&amp;($C63+CONVERT(Variables!$C$12,"sec","day")),POS_Time,"&lt;="&amp;($D63-CONVERT(Variables!$C$12+1,"sec","day")),POS_Q,"&lt;="&amp;Variables!$C$11))</f>
        <v/>
      </c>
      <c r="P63" s="32" t="str">
        <f t="array" ref="P63">IF($B63="","",STDEV(IF(POS_Time&gt;=($C63+CONVERT(Variables!$C$12,"sec","day")),IF(POS_Time&lt;=($D63-CONVERT(Variables!$C$12+1,"sec","day")),IF(POS_Q&lt;=Variables!$C$11,POS_Lat)))))</f>
        <v/>
      </c>
      <c r="Q63" s="32" t="str">
        <f t="array" ref="Q63">IF($B63="","",STDEV(IF(POS_Time&gt;=($C63+CONVERT(Variables!$C$12,"sec","day")),IF(POS_Time&lt;=($D63-CONVERT(Variables!$C$12+1,"sec","day")),IF(POS_Q&lt;=Variables!$C$11,POS_Long)))))</f>
        <v/>
      </c>
      <c r="R63" s="32" t="str">
        <f t="array" ref="R63">IF($B63="","",STDEV(IF(POS_Time&gt;=($C63+CONVERT(Variables!$C$12,"sec","day")),IF(POS_Time&lt;=($D63-CONVERT(Variables!$C$12+1,"sec","day")),IF(POS_Q&lt;=Variables!$C$11,POS_elev)))))</f>
        <v/>
      </c>
      <c r="S63" s="30" t="str">
        <f>IF($B63="","",'Rover CSV Data'!K63)</f>
        <v/>
      </c>
      <c r="T63" s="26" t="str">
        <f>IF($B63="","",COUNTIFS(POS_Time,"&gt;="&amp;($C63+CONVERT(Variables!$C$12,"sec","day")),POS_Time,"&lt;="&amp;($D63-CONVERT(Variables!$C$12+1,"sec","day")),POS_Q,"&lt;="&amp;Variables!$C$11))</f>
        <v/>
      </c>
      <c r="U63" s="26" t="str">
        <f>IF($B63="","",IF(1&gt;Variables!$C$11,0,COUNTIFS(POS_Time,"&gt;="&amp;($C63+CONVERT(Variables!$C$12,"sec","day")),POS_Time,"&lt;="&amp;($D63-CONVERT(Variables!$C$12+1,"sec","day")),POS_Q,"=1")))</f>
        <v/>
      </c>
      <c r="V63" s="26" t="str">
        <f>IF($B63="","",IF(2&gt;Variables!$C$11,0,COUNTIFS(POS_Time,"&gt;="&amp;($C63+CONVERT(Variables!$C$12,"sec","day")),POS_Time,"&lt;="&amp;($D63-CONVERT(Variables!$C$12+1,"sec","day")),POS_Q,"=2")))</f>
        <v/>
      </c>
      <c r="W63" s="26" t="str">
        <f>IF($B63="","",IF(3&gt;Variables!$C$11,0,COUNTIFS(POS_Time,"&gt;="&amp;($C63+CONVERT(Variables!$C$12,"sec","day")),POS_Time,"&lt;="&amp;($D63-CONVERT(Variables!$C$12+1,"sec","day")),POS_Q,"=3")))</f>
        <v/>
      </c>
      <c r="X63" s="26" t="str">
        <f>IF($B63="","",IF(4&gt;Variables!$C$11,0,COUNTIFS(POS_Time,"&gt;="&amp;($C63+CONVERT(Variables!$C$12,"sec","day")),POS_Time,"&lt;="&amp;($D63-CONVERT(Variables!$C$12+1,"sec","day")),POS_Q,"=4")))</f>
        <v/>
      </c>
      <c r="Y63" s="26" t="str">
        <f>IF($B63="","",IF(5&gt;Variables!$C$11,0,COUNTIFS(POS_Time,"&gt;="&amp;($C63+CONVERT(Variables!$C$12,"sec","day")),POS_Time,"&lt;="&amp;($D63-CONVERT(Variables!$C$12+1,"sec","day")),POS_Q,"=5")))</f>
        <v/>
      </c>
      <c r="Z63" s="26" t="str">
        <f>IF($B63="","",IF(6&gt;Variables!$C$11,0,COUNTIFS(POS_Time,"&gt;="&amp;($C63+CONVERT(Variables!$C$12,"sec","day")),POS_Time,"&lt;="&amp;($D63-CONVERT(Variables!$C$12+1,"sec","day")),POS_Q,"=6")))</f>
        <v/>
      </c>
    </row>
    <row r="64" spans="1:26" x14ac:dyDescent="0.25">
      <c r="A64" s="2">
        <v>63</v>
      </c>
      <c r="B64" s="27" t="str">
        <f>IF((ROW()-1)&lt;=RoverStations,'Rover CSV Data'!B64,"")</f>
        <v/>
      </c>
      <c r="C64" s="28" t="str">
        <f>IF($B64="","",DATEVALUE(LEFT('Rover CSV Data'!F64,FIND(" ",'Rover CSV Data'!F64)-1))+TIMEVALUE(MID('Rover CSV Data'!F64,LEN('Rover CSV Data'!F64)-FIND(" ",'Rover CSV Data'!F64),(FIND(" UTC",'Rover CSV Data'!F64))-(LEN('Rover CSV Data'!F64)-FIND(" ",'Rover CSV Data'!F64)))))</f>
        <v/>
      </c>
      <c r="D64" s="28" t="str">
        <f>IF($B64="","",DATEVALUE(LEFT('Rover CSV Data'!G64,FIND(" ",'Rover CSV Data'!G64)-1))+TIMEVALUE(MID('Rover CSV Data'!G64,LEN('Rover CSV Data'!G64)-FIND(" ",'Rover CSV Data'!G64),(FIND(" UTC",'Rover CSV Data'!G64))-(LEN('Rover CSV Data'!G64)-FIND(" ",'Rover CSV Data'!G64)))))</f>
        <v/>
      </c>
      <c r="E64" s="29" t="str">
        <f t="shared" si="1"/>
        <v/>
      </c>
      <c r="F64" s="26" t="str">
        <f>IF($B64="","",'Rover CSV Data'!J64)</f>
        <v/>
      </c>
      <c r="G64" s="26" t="str">
        <f>IF($B64="","",AVERAGEIFS(POS_Lat,POS_Time,"&gt;="&amp;($C64+CONVERT(Variables!$C$12,"sec","day")),POS_Time,"&lt;="&amp;($D64-CONVERT(Variables!$C$12+1,"sec","day")),POS_Q,"&lt;="&amp;Variables!$C$11))</f>
        <v/>
      </c>
      <c r="H64" s="26" t="str">
        <f>IF($B64="","",AVERAGEIFS(POS_Long,POS_Time,"&gt;="&amp;($C64+CONVERT(Variables!$C$12,"sec","day")),POS_Time,"&lt;="&amp;($D64-CONVERT(Variables!$C$12+1,"sec","day")),POS_Q,"&lt;="&amp;Variables!$C$11))</f>
        <v/>
      </c>
      <c r="I64" s="30" t="str">
        <f>IF($B64="","",AVERAGEIFS(POS_elev,POS_Time,"&gt;="&amp;($C64+CONVERT(Variables!$C$12,"sec","day")),POS_Time,"&lt;="&amp;($D64-CONVERT(Variables!$C$12+1,"sec","day")),POS_Q,"&lt;="&amp;Variables!$C$11)-S64)</f>
        <v/>
      </c>
      <c r="J64" s="26" t="str">
        <f>IF($B64="","",'Rover CSV Data'!D64)</f>
        <v/>
      </c>
      <c r="K64" s="26" t="str">
        <f>IF($B64="","",'Rover CSV Data'!C64)</f>
        <v/>
      </c>
      <c r="L64" s="26" t="str">
        <f>IF($B64="","",'Rover CSV Data'!E64)</f>
        <v/>
      </c>
      <c r="M64" s="30" t="str">
        <f>IF($B64="","",AVERAGEIFS(sdn,POS_Time,"&gt;="&amp;($C64+CONVERT(Variables!$C$12,"sec","day")),POS_Time,"&lt;="&amp;($D64-CONVERT(Variables!$C$12+1,"sec","day")),POS_Q,"&lt;="&amp;Variables!$C$11))</f>
        <v/>
      </c>
      <c r="N64" s="31" t="str">
        <f>IF($B64="","",AVERAGEIFS(sde,POS_Time,"&gt;="&amp;($C64+CONVERT(Variables!$C$12,"sec","day")),POS_Time,"&lt;="&amp;($D64-CONVERT(Variables!$C$12+1,"sec","day")),POS_Q,"&lt;="&amp;Variables!$C$11))</f>
        <v/>
      </c>
      <c r="O64" s="31" t="str">
        <f>IF($B64="","",AVERAGEIFS(sdu,POS_Time,"&gt;="&amp;($C64+CONVERT(Variables!$C$12,"sec","day")),POS_Time,"&lt;="&amp;($D64-CONVERT(Variables!$C$12+1,"sec","day")),POS_Q,"&lt;="&amp;Variables!$C$11))</f>
        <v/>
      </c>
      <c r="P64" s="32" t="str">
        <f t="array" ref="P64">IF($B64="","",STDEV(IF(POS_Time&gt;=($C64+CONVERT(Variables!$C$12,"sec","day")),IF(POS_Time&lt;=($D64-CONVERT(Variables!$C$12+1,"sec","day")),IF(POS_Q&lt;=Variables!$C$11,POS_Lat)))))</f>
        <v/>
      </c>
      <c r="Q64" s="32" t="str">
        <f t="array" ref="Q64">IF($B64="","",STDEV(IF(POS_Time&gt;=($C64+CONVERT(Variables!$C$12,"sec","day")),IF(POS_Time&lt;=($D64-CONVERT(Variables!$C$12+1,"sec","day")),IF(POS_Q&lt;=Variables!$C$11,POS_Long)))))</f>
        <v/>
      </c>
      <c r="R64" s="32" t="str">
        <f t="array" ref="R64">IF($B64="","",STDEV(IF(POS_Time&gt;=($C64+CONVERT(Variables!$C$12,"sec","day")),IF(POS_Time&lt;=($D64-CONVERT(Variables!$C$12+1,"sec","day")),IF(POS_Q&lt;=Variables!$C$11,POS_elev)))))</f>
        <v/>
      </c>
      <c r="S64" s="30" t="str">
        <f>IF($B64="","",'Rover CSV Data'!K64)</f>
        <v/>
      </c>
      <c r="T64" s="26" t="str">
        <f>IF($B64="","",COUNTIFS(POS_Time,"&gt;="&amp;($C64+CONVERT(Variables!$C$12,"sec","day")),POS_Time,"&lt;="&amp;($D64-CONVERT(Variables!$C$12+1,"sec","day")),POS_Q,"&lt;="&amp;Variables!$C$11))</f>
        <v/>
      </c>
      <c r="U64" s="26" t="str">
        <f>IF($B64="","",IF(1&gt;Variables!$C$11,0,COUNTIFS(POS_Time,"&gt;="&amp;($C64+CONVERT(Variables!$C$12,"sec","day")),POS_Time,"&lt;="&amp;($D64-CONVERT(Variables!$C$12+1,"sec","day")),POS_Q,"=1")))</f>
        <v/>
      </c>
      <c r="V64" s="26" t="str">
        <f>IF($B64="","",IF(2&gt;Variables!$C$11,0,COUNTIFS(POS_Time,"&gt;="&amp;($C64+CONVERT(Variables!$C$12,"sec","day")),POS_Time,"&lt;="&amp;($D64-CONVERT(Variables!$C$12+1,"sec","day")),POS_Q,"=2")))</f>
        <v/>
      </c>
      <c r="W64" s="26" t="str">
        <f>IF($B64="","",IF(3&gt;Variables!$C$11,0,COUNTIFS(POS_Time,"&gt;="&amp;($C64+CONVERT(Variables!$C$12,"sec","day")),POS_Time,"&lt;="&amp;($D64-CONVERT(Variables!$C$12+1,"sec","day")),POS_Q,"=3")))</f>
        <v/>
      </c>
      <c r="X64" s="26" t="str">
        <f>IF($B64="","",IF(4&gt;Variables!$C$11,0,COUNTIFS(POS_Time,"&gt;="&amp;($C64+CONVERT(Variables!$C$12,"sec","day")),POS_Time,"&lt;="&amp;($D64-CONVERT(Variables!$C$12+1,"sec","day")),POS_Q,"=4")))</f>
        <v/>
      </c>
      <c r="Y64" s="26" t="str">
        <f>IF($B64="","",IF(5&gt;Variables!$C$11,0,COUNTIFS(POS_Time,"&gt;="&amp;($C64+CONVERT(Variables!$C$12,"sec","day")),POS_Time,"&lt;="&amp;($D64-CONVERT(Variables!$C$12+1,"sec","day")),POS_Q,"=5")))</f>
        <v/>
      </c>
      <c r="Z64" s="26" t="str">
        <f>IF($B64="","",IF(6&gt;Variables!$C$11,0,COUNTIFS(POS_Time,"&gt;="&amp;($C64+CONVERT(Variables!$C$12,"sec","day")),POS_Time,"&lt;="&amp;($D64-CONVERT(Variables!$C$12+1,"sec","day")),POS_Q,"=6")))</f>
        <v/>
      </c>
    </row>
    <row r="65" spans="1:26" x14ac:dyDescent="0.25">
      <c r="A65" s="2">
        <v>64</v>
      </c>
      <c r="B65" s="27" t="str">
        <f>IF((ROW()-1)&lt;=RoverStations,'Rover CSV Data'!B65,"")</f>
        <v/>
      </c>
      <c r="C65" s="28" t="str">
        <f>IF($B65="","",DATEVALUE(LEFT('Rover CSV Data'!F65,FIND(" ",'Rover CSV Data'!F65)-1))+TIMEVALUE(MID('Rover CSV Data'!F65,LEN('Rover CSV Data'!F65)-FIND(" ",'Rover CSV Data'!F65),(FIND(" UTC",'Rover CSV Data'!F65))-(LEN('Rover CSV Data'!F65)-FIND(" ",'Rover CSV Data'!F65)))))</f>
        <v/>
      </c>
      <c r="D65" s="28" t="str">
        <f>IF($B65="","",DATEVALUE(LEFT('Rover CSV Data'!G65,FIND(" ",'Rover CSV Data'!G65)-1))+TIMEVALUE(MID('Rover CSV Data'!G65,LEN('Rover CSV Data'!G65)-FIND(" ",'Rover CSV Data'!G65),(FIND(" UTC",'Rover CSV Data'!G65))-(LEN('Rover CSV Data'!G65)-FIND(" ",'Rover CSV Data'!G65)))))</f>
        <v/>
      </c>
      <c r="E65" s="29" t="str">
        <f t="shared" si="1"/>
        <v/>
      </c>
      <c r="F65" s="26" t="str">
        <f>IF($B65="","",'Rover CSV Data'!J65)</f>
        <v/>
      </c>
      <c r="G65" s="26" t="str">
        <f>IF($B65="","",AVERAGEIFS(POS_Lat,POS_Time,"&gt;="&amp;($C65+CONVERT(Variables!$C$12,"sec","day")),POS_Time,"&lt;="&amp;($D65-CONVERT(Variables!$C$12+1,"sec","day")),POS_Q,"&lt;="&amp;Variables!$C$11))</f>
        <v/>
      </c>
      <c r="H65" s="26" t="str">
        <f>IF($B65="","",AVERAGEIFS(POS_Long,POS_Time,"&gt;="&amp;($C65+CONVERT(Variables!$C$12,"sec","day")),POS_Time,"&lt;="&amp;($D65-CONVERT(Variables!$C$12+1,"sec","day")),POS_Q,"&lt;="&amp;Variables!$C$11))</f>
        <v/>
      </c>
      <c r="I65" s="30" t="str">
        <f>IF($B65="","",AVERAGEIFS(POS_elev,POS_Time,"&gt;="&amp;($C65+CONVERT(Variables!$C$12,"sec","day")),POS_Time,"&lt;="&amp;($D65-CONVERT(Variables!$C$12+1,"sec","day")),POS_Q,"&lt;="&amp;Variables!$C$11)-S65)</f>
        <v/>
      </c>
      <c r="J65" s="26" t="str">
        <f>IF($B65="","",'Rover CSV Data'!D65)</f>
        <v/>
      </c>
      <c r="K65" s="26" t="str">
        <f>IF($B65="","",'Rover CSV Data'!C65)</f>
        <v/>
      </c>
      <c r="L65" s="26" t="str">
        <f>IF($B65="","",'Rover CSV Data'!E65)</f>
        <v/>
      </c>
      <c r="M65" s="30" t="str">
        <f>IF($B65="","",AVERAGEIFS(sdn,POS_Time,"&gt;="&amp;($C65+CONVERT(Variables!$C$12,"sec","day")),POS_Time,"&lt;="&amp;($D65-CONVERT(Variables!$C$12+1,"sec","day")),POS_Q,"&lt;="&amp;Variables!$C$11))</f>
        <v/>
      </c>
      <c r="N65" s="31" t="str">
        <f>IF($B65="","",AVERAGEIFS(sde,POS_Time,"&gt;="&amp;($C65+CONVERT(Variables!$C$12,"sec","day")),POS_Time,"&lt;="&amp;($D65-CONVERT(Variables!$C$12+1,"sec","day")),POS_Q,"&lt;="&amp;Variables!$C$11))</f>
        <v/>
      </c>
      <c r="O65" s="31" t="str">
        <f>IF($B65="","",AVERAGEIFS(sdu,POS_Time,"&gt;="&amp;($C65+CONVERT(Variables!$C$12,"sec","day")),POS_Time,"&lt;="&amp;($D65-CONVERT(Variables!$C$12+1,"sec","day")),POS_Q,"&lt;="&amp;Variables!$C$11))</f>
        <v/>
      </c>
      <c r="P65" s="32" t="str">
        <f t="array" ref="P65">IF($B65="","",STDEV(IF(POS_Time&gt;=($C65+CONVERT(Variables!$C$12,"sec","day")),IF(POS_Time&lt;=($D65-CONVERT(Variables!$C$12+1,"sec","day")),IF(POS_Q&lt;=Variables!$C$11,POS_Lat)))))</f>
        <v/>
      </c>
      <c r="Q65" s="32" t="str">
        <f t="array" ref="Q65">IF($B65="","",STDEV(IF(POS_Time&gt;=($C65+CONVERT(Variables!$C$12,"sec","day")),IF(POS_Time&lt;=($D65-CONVERT(Variables!$C$12+1,"sec","day")),IF(POS_Q&lt;=Variables!$C$11,POS_Long)))))</f>
        <v/>
      </c>
      <c r="R65" s="32" t="str">
        <f t="array" ref="R65">IF($B65="","",STDEV(IF(POS_Time&gt;=($C65+CONVERT(Variables!$C$12,"sec","day")),IF(POS_Time&lt;=($D65-CONVERT(Variables!$C$12+1,"sec","day")),IF(POS_Q&lt;=Variables!$C$11,POS_elev)))))</f>
        <v/>
      </c>
      <c r="S65" s="30" t="str">
        <f>IF($B65="","",'Rover CSV Data'!K65)</f>
        <v/>
      </c>
      <c r="T65" s="26" t="str">
        <f>IF($B65="","",COUNTIFS(POS_Time,"&gt;="&amp;($C65+CONVERT(Variables!$C$12,"sec","day")),POS_Time,"&lt;="&amp;($D65-CONVERT(Variables!$C$12+1,"sec","day")),POS_Q,"&lt;="&amp;Variables!$C$11))</f>
        <v/>
      </c>
      <c r="U65" s="26" t="str">
        <f>IF($B65="","",IF(1&gt;Variables!$C$11,0,COUNTIFS(POS_Time,"&gt;="&amp;($C65+CONVERT(Variables!$C$12,"sec","day")),POS_Time,"&lt;="&amp;($D65-CONVERT(Variables!$C$12+1,"sec","day")),POS_Q,"=1")))</f>
        <v/>
      </c>
      <c r="V65" s="26" t="str">
        <f>IF($B65="","",IF(2&gt;Variables!$C$11,0,COUNTIFS(POS_Time,"&gt;="&amp;($C65+CONVERT(Variables!$C$12,"sec","day")),POS_Time,"&lt;="&amp;($D65-CONVERT(Variables!$C$12+1,"sec","day")),POS_Q,"=2")))</f>
        <v/>
      </c>
      <c r="W65" s="26" t="str">
        <f>IF($B65="","",IF(3&gt;Variables!$C$11,0,COUNTIFS(POS_Time,"&gt;="&amp;($C65+CONVERT(Variables!$C$12,"sec","day")),POS_Time,"&lt;="&amp;($D65-CONVERT(Variables!$C$12+1,"sec","day")),POS_Q,"=3")))</f>
        <v/>
      </c>
      <c r="X65" s="26" t="str">
        <f>IF($B65="","",IF(4&gt;Variables!$C$11,0,COUNTIFS(POS_Time,"&gt;="&amp;($C65+CONVERT(Variables!$C$12,"sec","day")),POS_Time,"&lt;="&amp;($D65-CONVERT(Variables!$C$12+1,"sec","day")),POS_Q,"=4")))</f>
        <v/>
      </c>
      <c r="Y65" s="26" t="str">
        <f>IF($B65="","",IF(5&gt;Variables!$C$11,0,COUNTIFS(POS_Time,"&gt;="&amp;($C65+CONVERT(Variables!$C$12,"sec","day")),POS_Time,"&lt;="&amp;($D65-CONVERT(Variables!$C$12+1,"sec","day")),POS_Q,"=5")))</f>
        <v/>
      </c>
      <c r="Z65" s="26" t="str">
        <f>IF($B65="","",IF(6&gt;Variables!$C$11,0,COUNTIFS(POS_Time,"&gt;="&amp;($C65+CONVERT(Variables!$C$12,"sec","day")),POS_Time,"&lt;="&amp;($D65-CONVERT(Variables!$C$12+1,"sec","day")),POS_Q,"=6")))</f>
        <v/>
      </c>
    </row>
    <row r="66" spans="1:26" x14ac:dyDescent="0.25">
      <c r="A66" s="2">
        <v>65</v>
      </c>
      <c r="B66" s="27" t="str">
        <f>IF((ROW()-1)&lt;=RoverStations,'Rover CSV Data'!B66,"")</f>
        <v/>
      </c>
      <c r="C66" s="28" t="str">
        <f>IF($B66="","",DATEVALUE(LEFT('Rover CSV Data'!F66,FIND(" ",'Rover CSV Data'!F66)-1))+TIMEVALUE(MID('Rover CSV Data'!F66,LEN('Rover CSV Data'!F66)-FIND(" ",'Rover CSV Data'!F66),(FIND(" UTC",'Rover CSV Data'!F66))-(LEN('Rover CSV Data'!F66)-FIND(" ",'Rover CSV Data'!F66)))))</f>
        <v/>
      </c>
      <c r="D66" s="28" t="str">
        <f>IF($B66="","",DATEVALUE(LEFT('Rover CSV Data'!G66,FIND(" ",'Rover CSV Data'!G66)-1))+TIMEVALUE(MID('Rover CSV Data'!G66,LEN('Rover CSV Data'!G66)-FIND(" ",'Rover CSV Data'!G66),(FIND(" UTC",'Rover CSV Data'!G66))-(LEN('Rover CSV Data'!G66)-FIND(" ",'Rover CSV Data'!G66)))))</f>
        <v/>
      </c>
      <c r="E66" s="29" t="str">
        <f t="shared" si="1"/>
        <v/>
      </c>
      <c r="F66" s="26" t="str">
        <f>IF($B66="","",'Rover CSV Data'!J66)</f>
        <v/>
      </c>
      <c r="G66" s="26" t="str">
        <f>IF($B66="","",AVERAGEIFS(POS_Lat,POS_Time,"&gt;="&amp;($C66+CONVERT(Variables!$C$12,"sec","day")),POS_Time,"&lt;="&amp;($D66-CONVERT(Variables!$C$12+1,"sec","day")),POS_Q,"&lt;="&amp;Variables!$C$11))</f>
        <v/>
      </c>
      <c r="H66" s="26" t="str">
        <f>IF($B66="","",AVERAGEIFS(POS_Long,POS_Time,"&gt;="&amp;($C66+CONVERT(Variables!$C$12,"sec","day")),POS_Time,"&lt;="&amp;($D66-CONVERT(Variables!$C$12+1,"sec","day")),POS_Q,"&lt;="&amp;Variables!$C$11))</f>
        <v/>
      </c>
      <c r="I66" s="30" t="str">
        <f>IF($B66="","",AVERAGEIFS(POS_elev,POS_Time,"&gt;="&amp;($C66+CONVERT(Variables!$C$12,"sec","day")),POS_Time,"&lt;="&amp;($D66-CONVERT(Variables!$C$12+1,"sec","day")),POS_Q,"&lt;="&amp;Variables!$C$11)-S66)</f>
        <v/>
      </c>
      <c r="J66" s="26" t="str">
        <f>IF($B66="","",'Rover CSV Data'!D66)</f>
        <v/>
      </c>
      <c r="K66" s="26" t="str">
        <f>IF($B66="","",'Rover CSV Data'!C66)</f>
        <v/>
      </c>
      <c r="L66" s="26" t="str">
        <f>IF($B66="","",'Rover CSV Data'!E66)</f>
        <v/>
      </c>
      <c r="M66" s="30" t="str">
        <f>IF($B66="","",AVERAGEIFS(sdn,POS_Time,"&gt;="&amp;($C66+CONVERT(Variables!$C$12,"sec","day")),POS_Time,"&lt;="&amp;($D66-CONVERT(Variables!$C$12+1,"sec","day")),POS_Q,"&lt;="&amp;Variables!$C$11))</f>
        <v/>
      </c>
      <c r="N66" s="31" t="str">
        <f>IF($B66="","",AVERAGEIFS(sde,POS_Time,"&gt;="&amp;($C66+CONVERT(Variables!$C$12,"sec","day")),POS_Time,"&lt;="&amp;($D66-CONVERT(Variables!$C$12+1,"sec","day")),POS_Q,"&lt;="&amp;Variables!$C$11))</f>
        <v/>
      </c>
      <c r="O66" s="31" t="str">
        <f>IF($B66="","",AVERAGEIFS(sdu,POS_Time,"&gt;="&amp;($C66+CONVERT(Variables!$C$12,"sec","day")),POS_Time,"&lt;="&amp;($D66-CONVERT(Variables!$C$12+1,"sec","day")),POS_Q,"&lt;="&amp;Variables!$C$11))</f>
        <v/>
      </c>
      <c r="P66" s="32" t="str">
        <f t="array" ref="P66">IF($B66="","",STDEV(IF(POS_Time&gt;=($C66+CONVERT(Variables!$C$12,"sec","day")),IF(POS_Time&lt;=($D66-CONVERT(Variables!$C$12+1,"sec","day")),IF(POS_Q&lt;=Variables!$C$11,POS_Lat)))))</f>
        <v/>
      </c>
      <c r="Q66" s="32" t="str">
        <f t="array" ref="Q66">IF($B66="","",STDEV(IF(POS_Time&gt;=($C66+CONVERT(Variables!$C$12,"sec","day")),IF(POS_Time&lt;=($D66-CONVERT(Variables!$C$12+1,"sec","day")),IF(POS_Q&lt;=Variables!$C$11,POS_Long)))))</f>
        <v/>
      </c>
      <c r="R66" s="32" t="str">
        <f t="array" ref="R66">IF($B66="","",STDEV(IF(POS_Time&gt;=($C66+CONVERT(Variables!$C$12,"sec","day")),IF(POS_Time&lt;=($D66-CONVERT(Variables!$C$12+1,"sec","day")),IF(POS_Q&lt;=Variables!$C$11,POS_elev)))))</f>
        <v/>
      </c>
      <c r="S66" s="30" t="str">
        <f>IF($B66="","",'Rover CSV Data'!K66)</f>
        <v/>
      </c>
      <c r="T66" s="26" t="str">
        <f>IF($B66="","",COUNTIFS(POS_Time,"&gt;="&amp;($C66+CONVERT(Variables!$C$12,"sec","day")),POS_Time,"&lt;="&amp;($D66-CONVERT(Variables!$C$12+1,"sec","day")),POS_Q,"&lt;="&amp;Variables!$C$11))</f>
        <v/>
      </c>
      <c r="U66" s="26" t="str">
        <f>IF($B66="","",IF(1&gt;Variables!$C$11,0,COUNTIFS(POS_Time,"&gt;="&amp;($C66+CONVERT(Variables!$C$12,"sec","day")),POS_Time,"&lt;="&amp;($D66-CONVERT(Variables!$C$12+1,"sec","day")),POS_Q,"=1")))</f>
        <v/>
      </c>
      <c r="V66" s="26" t="str">
        <f>IF($B66="","",IF(2&gt;Variables!$C$11,0,COUNTIFS(POS_Time,"&gt;="&amp;($C66+CONVERT(Variables!$C$12,"sec","day")),POS_Time,"&lt;="&amp;($D66-CONVERT(Variables!$C$12+1,"sec","day")),POS_Q,"=2")))</f>
        <v/>
      </c>
      <c r="W66" s="26" t="str">
        <f>IF($B66="","",IF(3&gt;Variables!$C$11,0,COUNTIFS(POS_Time,"&gt;="&amp;($C66+CONVERT(Variables!$C$12,"sec","day")),POS_Time,"&lt;="&amp;($D66-CONVERT(Variables!$C$12+1,"sec","day")),POS_Q,"=3")))</f>
        <v/>
      </c>
      <c r="X66" s="26" t="str">
        <f>IF($B66="","",IF(4&gt;Variables!$C$11,0,COUNTIFS(POS_Time,"&gt;="&amp;($C66+CONVERT(Variables!$C$12,"sec","day")),POS_Time,"&lt;="&amp;($D66-CONVERT(Variables!$C$12+1,"sec","day")),POS_Q,"=4")))</f>
        <v/>
      </c>
      <c r="Y66" s="26" t="str">
        <f>IF($B66="","",IF(5&gt;Variables!$C$11,0,COUNTIFS(POS_Time,"&gt;="&amp;($C66+CONVERT(Variables!$C$12,"sec","day")),POS_Time,"&lt;="&amp;($D66-CONVERT(Variables!$C$12+1,"sec","day")),POS_Q,"=5")))</f>
        <v/>
      </c>
      <c r="Z66" s="26" t="str">
        <f>IF($B66="","",IF(6&gt;Variables!$C$11,0,COUNTIFS(POS_Time,"&gt;="&amp;($C66+CONVERT(Variables!$C$12,"sec","day")),POS_Time,"&lt;="&amp;($D66-CONVERT(Variables!$C$12+1,"sec","day")),POS_Q,"=6")))</f>
        <v/>
      </c>
    </row>
    <row r="67" spans="1:26" x14ac:dyDescent="0.25">
      <c r="A67" s="2">
        <v>66</v>
      </c>
      <c r="B67" s="27" t="str">
        <f>IF((ROW()-1)&lt;=RoverStations,'Rover CSV Data'!B67,"")</f>
        <v/>
      </c>
      <c r="C67" s="28" t="str">
        <f>IF($B67="","",DATEVALUE(LEFT('Rover CSV Data'!F67,FIND(" ",'Rover CSV Data'!F67)-1))+TIMEVALUE(MID('Rover CSV Data'!F67,LEN('Rover CSV Data'!F67)-FIND(" ",'Rover CSV Data'!F67),(FIND(" UTC",'Rover CSV Data'!F67))-(LEN('Rover CSV Data'!F67)-FIND(" ",'Rover CSV Data'!F67)))))</f>
        <v/>
      </c>
      <c r="D67" s="28" t="str">
        <f>IF($B67="","",DATEVALUE(LEFT('Rover CSV Data'!G67,FIND(" ",'Rover CSV Data'!G67)-1))+TIMEVALUE(MID('Rover CSV Data'!G67,LEN('Rover CSV Data'!G67)-FIND(" ",'Rover CSV Data'!G67),(FIND(" UTC",'Rover CSV Data'!G67))-(LEN('Rover CSV Data'!G67)-FIND(" ",'Rover CSV Data'!G67)))))</f>
        <v/>
      </c>
      <c r="E67" s="29" t="str">
        <f t="shared" si="1"/>
        <v/>
      </c>
      <c r="F67" s="26" t="str">
        <f>IF($B67="","",'Rover CSV Data'!J67)</f>
        <v/>
      </c>
      <c r="G67" s="26" t="str">
        <f>IF($B67="","",AVERAGEIFS(POS_Lat,POS_Time,"&gt;="&amp;($C67+CONVERT(Variables!$C$12,"sec","day")),POS_Time,"&lt;="&amp;($D67-CONVERT(Variables!$C$12+1,"sec","day")),POS_Q,"&lt;="&amp;Variables!$C$11))</f>
        <v/>
      </c>
      <c r="H67" s="26" t="str">
        <f>IF($B67="","",AVERAGEIFS(POS_Long,POS_Time,"&gt;="&amp;($C67+CONVERT(Variables!$C$12,"sec","day")),POS_Time,"&lt;="&amp;($D67-CONVERT(Variables!$C$12+1,"sec","day")),POS_Q,"&lt;="&amp;Variables!$C$11))</f>
        <v/>
      </c>
      <c r="I67" s="30" t="str">
        <f>IF($B67="","",AVERAGEIFS(POS_elev,POS_Time,"&gt;="&amp;($C67+CONVERT(Variables!$C$12,"sec","day")),POS_Time,"&lt;="&amp;($D67-CONVERT(Variables!$C$12+1,"sec","day")),POS_Q,"&lt;="&amp;Variables!$C$11)-S67)</f>
        <v/>
      </c>
      <c r="J67" s="26" t="str">
        <f>IF($B67="","",'Rover CSV Data'!D67)</f>
        <v/>
      </c>
      <c r="K67" s="26" t="str">
        <f>IF($B67="","",'Rover CSV Data'!C67)</f>
        <v/>
      </c>
      <c r="L67" s="26" t="str">
        <f>IF($B67="","",'Rover CSV Data'!E67)</f>
        <v/>
      </c>
      <c r="M67" s="30" t="str">
        <f>IF($B67="","",AVERAGEIFS(sdn,POS_Time,"&gt;="&amp;($C67+CONVERT(Variables!$C$12,"sec","day")),POS_Time,"&lt;="&amp;($D67-CONVERT(Variables!$C$12+1,"sec","day")),POS_Q,"&lt;="&amp;Variables!$C$11))</f>
        <v/>
      </c>
      <c r="N67" s="31" t="str">
        <f>IF($B67="","",AVERAGEIFS(sde,POS_Time,"&gt;="&amp;($C67+CONVERT(Variables!$C$12,"sec","day")),POS_Time,"&lt;="&amp;($D67-CONVERT(Variables!$C$12+1,"sec","day")),POS_Q,"&lt;="&amp;Variables!$C$11))</f>
        <v/>
      </c>
      <c r="O67" s="31" t="str">
        <f>IF($B67="","",AVERAGEIFS(sdu,POS_Time,"&gt;="&amp;($C67+CONVERT(Variables!$C$12,"sec","day")),POS_Time,"&lt;="&amp;($D67-CONVERT(Variables!$C$12+1,"sec","day")),POS_Q,"&lt;="&amp;Variables!$C$11))</f>
        <v/>
      </c>
      <c r="P67" s="32" t="str">
        <f t="array" ref="P67">IF($B67="","",STDEV(IF(POS_Time&gt;=($C67+CONVERT(Variables!$C$12,"sec","day")),IF(POS_Time&lt;=($D67-CONVERT(Variables!$C$12+1,"sec","day")),IF(POS_Q&lt;=Variables!$C$11,POS_Lat)))))</f>
        <v/>
      </c>
      <c r="Q67" s="32" t="str">
        <f t="array" ref="Q67">IF($B67="","",STDEV(IF(POS_Time&gt;=($C67+CONVERT(Variables!$C$12,"sec","day")),IF(POS_Time&lt;=($D67-CONVERT(Variables!$C$12+1,"sec","day")),IF(POS_Q&lt;=Variables!$C$11,POS_Long)))))</f>
        <v/>
      </c>
      <c r="R67" s="32" t="str">
        <f t="array" ref="R67">IF($B67="","",STDEV(IF(POS_Time&gt;=($C67+CONVERT(Variables!$C$12,"sec","day")),IF(POS_Time&lt;=($D67-CONVERT(Variables!$C$12+1,"sec","day")),IF(POS_Q&lt;=Variables!$C$11,POS_elev)))))</f>
        <v/>
      </c>
      <c r="S67" s="30" t="str">
        <f>IF($B67="","",'Rover CSV Data'!K67)</f>
        <v/>
      </c>
      <c r="T67" s="26" t="str">
        <f>IF($B67="","",COUNTIFS(POS_Time,"&gt;="&amp;($C67+CONVERT(Variables!$C$12,"sec","day")),POS_Time,"&lt;="&amp;($D67-CONVERT(Variables!$C$12+1,"sec","day")),POS_Q,"&lt;="&amp;Variables!$C$11))</f>
        <v/>
      </c>
      <c r="U67" s="26" t="str">
        <f>IF($B67="","",IF(1&gt;Variables!$C$11,0,COUNTIFS(POS_Time,"&gt;="&amp;($C67+CONVERT(Variables!$C$12,"sec","day")),POS_Time,"&lt;="&amp;($D67-CONVERT(Variables!$C$12+1,"sec","day")),POS_Q,"=1")))</f>
        <v/>
      </c>
      <c r="V67" s="26" t="str">
        <f>IF($B67="","",IF(2&gt;Variables!$C$11,0,COUNTIFS(POS_Time,"&gt;="&amp;($C67+CONVERT(Variables!$C$12,"sec","day")),POS_Time,"&lt;="&amp;($D67-CONVERT(Variables!$C$12+1,"sec","day")),POS_Q,"=2")))</f>
        <v/>
      </c>
      <c r="W67" s="26" t="str">
        <f>IF($B67="","",IF(3&gt;Variables!$C$11,0,COUNTIFS(POS_Time,"&gt;="&amp;($C67+CONVERT(Variables!$C$12,"sec","day")),POS_Time,"&lt;="&amp;($D67-CONVERT(Variables!$C$12+1,"sec","day")),POS_Q,"=3")))</f>
        <v/>
      </c>
      <c r="X67" s="26" t="str">
        <f>IF($B67="","",IF(4&gt;Variables!$C$11,0,COUNTIFS(POS_Time,"&gt;="&amp;($C67+CONVERT(Variables!$C$12,"sec","day")),POS_Time,"&lt;="&amp;($D67-CONVERT(Variables!$C$12+1,"sec","day")),POS_Q,"=4")))</f>
        <v/>
      </c>
      <c r="Y67" s="26" t="str">
        <f>IF($B67="","",IF(5&gt;Variables!$C$11,0,COUNTIFS(POS_Time,"&gt;="&amp;($C67+CONVERT(Variables!$C$12,"sec","day")),POS_Time,"&lt;="&amp;($D67-CONVERT(Variables!$C$12+1,"sec","day")),POS_Q,"=5")))</f>
        <v/>
      </c>
      <c r="Z67" s="26" t="str">
        <f>IF($B67="","",IF(6&gt;Variables!$C$11,0,COUNTIFS(POS_Time,"&gt;="&amp;($C67+CONVERT(Variables!$C$12,"sec","day")),POS_Time,"&lt;="&amp;($D67-CONVERT(Variables!$C$12+1,"sec","day")),POS_Q,"=6")))</f>
        <v/>
      </c>
    </row>
    <row r="68" spans="1:26" x14ac:dyDescent="0.25">
      <c r="A68" s="2">
        <v>67</v>
      </c>
      <c r="B68" s="27" t="str">
        <f>IF((ROW()-1)&lt;=RoverStations,'Rover CSV Data'!B68,"")</f>
        <v/>
      </c>
      <c r="C68" s="28" t="str">
        <f>IF($B68="","",DATEVALUE(LEFT('Rover CSV Data'!F68,FIND(" ",'Rover CSV Data'!F68)-1))+TIMEVALUE(MID('Rover CSV Data'!F68,LEN('Rover CSV Data'!F68)-FIND(" ",'Rover CSV Data'!F68),(FIND(" UTC",'Rover CSV Data'!F68))-(LEN('Rover CSV Data'!F68)-FIND(" ",'Rover CSV Data'!F68)))))</f>
        <v/>
      </c>
      <c r="D68" s="28" t="str">
        <f>IF($B68="","",DATEVALUE(LEFT('Rover CSV Data'!G68,FIND(" ",'Rover CSV Data'!G68)-1))+TIMEVALUE(MID('Rover CSV Data'!G68,LEN('Rover CSV Data'!G68)-FIND(" ",'Rover CSV Data'!G68),(FIND(" UTC",'Rover CSV Data'!G68))-(LEN('Rover CSV Data'!G68)-FIND(" ",'Rover CSV Data'!G68)))))</f>
        <v/>
      </c>
      <c r="E68" s="29" t="str">
        <f t="shared" si="1"/>
        <v/>
      </c>
      <c r="F68" s="26" t="str">
        <f>IF($B68="","",'Rover CSV Data'!J68)</f>
        <v/>
      </c>
      <c r="G68" s="26" t="str">
        <f>IF($B68="","",AVERAGEIFS(POS_Lat,POS_Time,"&gt;="&amp;($C68+CONVERT(Variables!$C$12,"sec","day")),POS_Time,"&lt;="&amp;($D68-CONVERT(Variables!$C$12+1,"sec","day")),POS_Q,"&lt;="&amp;Variables!$C$11))</f>
        <v/>
      </c>
      <c r="H68" s="26" t="str">
        <f>IF($B68="","",AVERAGEIFS(POS_Long,POS_Time,"&gt;="&amp;($C68+CONVERT(Variables!$C$12,"sec","day")),POS_Time,"&lt;="&amp;($D68-CONVERT(Variables!$C$12+1,"sec","day")),POS_Q,"&lt;="&amp;Variables!$C$11))</f>
        <v/>
      </c>
      <c r="I68" s="30" t="str">
        <f>IF($B68="","",AVERAGEIFS(POS_elev,POS_Time,"&gt;="&amp;($C68+CONVERT(Variables!$C$12,"sec","day")),POS_Time,"&lt;="&amp;($D68-CONVERT(Variables!$C$12+1,"sec","day")),POS_Q,"&lt;="&amp;Variables!$C$11)-S68)</f>
        <v/>
      </c>
      <c r="J68" s="26" t="str">
        <f>IF($B68="","",'Rover CSV Data'!D68)</f>
        <v/>
      </c>
      <c r="K68" s="26" t="str">
        <f>IF($B68="","",'Rover CSV Data'!C68)</f>
        <v/>
      </c>
      <c r="L68" s="26" t="str">
        <f>IF($B68="","",'Rover CSV Data'!E68)</f>
        <v/>
      </c>
      <c r="M68" s="30" t="str">
        <f>IF($B68="","",AVERAGEIFS(sdn,POS_Time,"&gt;="&amp;($C68+CONVERT(Variables!$C$12,"sec","day")),POS_Time,"&lt;="&amp;($D68-CONVERT(Variables!$C$12+1,"sec","day")),POS_Q,"&lt;="&amp;Variables!$C$11))</f>
        <v/>
      </c>
      <c r="N68" s="31" t="str">
        <f>IF($B68="","",AVERAGEIFS(sde,POS_Time,"&gt;="&amp;($C68+CONVERT(Variables!$C$12,"sec","day")),POS_Time,"&lt;="&amp;($D68-CONVERT(Variables!$C$12+1,"sec","day")),POS_Q,"&lt;="&amp;Variables!$C$11))</f>
        <v/>
      </c>
      <c r="O68" s="31" t="str">
        <f>IF($B68="","",AVERAGEIFS(sdu,POS_Time,"&gt;="&amp;($C68+CONVERT(Variables!$C$12,"sec","day")),POS_Time,"&lt;="&amp;($D68-CONVERT(Variables!$C$12+1,"sec","day")),POS_Q,"&lt;="&amp;Variables!$C$11))</f>
        <v/>
      </c>
      <c r="P68" s="32" t="str">
        <f t="array" ref="P68">IF($B68="","",STDEV(IF(POS_Time&gt;=($C68+CONVERT(Variables!$C$12,"sec","day")),IF(POS_Time&lt;=($D68-CONVERT(Variables!$C$12+1,"sec","day")),IF(POS_Q&lt;=Variables!$C$11,POS_Lat)))))</f>
        <v/>
      </c>
      <c r="Q68" s="32" t="str">
        <f t="array" ref="Q68">IF($B68="","",STDEV(IF(POS_Time&gt;=($C68+CONVERT(Variables!$C$12,"sec","day")),IF(POS_Time&lt;=($D68-CONVERT(Variables!$C$12+1,"sec","day")),IF(POS_Q&lt;=Variables!$C$11,POS_Long)))))</f>
        <v/>
      </c>
      <c r="R68" s="32" t="str">
        <f t="array" ref="R68">IF($B68="","",STDEV(IF(POS_Time&gt;=($C68+CONVERT(Variables!$C$12,"sec","day")),IF(POS_Time&lt;=($D68-CONVERT(Variables!$C$12+1,"sec","day")),IF(POS_Q&lt;=Variables!$C$11,POS_elev)))))</f>
        <v/>
      </c>
      <c r="S68" s="30" t="str">
        <f>IF($B68="","",'Rover CSV Data'!K68)</f>
        <v/>
      </c>
      <c r="T68" s="26" t="str">
        <f>IF($B68="","",COUNTIFS(POS_Time,"&gt;="&amp;($C68+CONVERT(Variables!$C$12,"sec","day")),POS_Time,"&lt;="&amp;($D68-CONVERT(Variables!$C$12+1,"sec","day")),POS_Q,"&lt;="&amp;Variables!$C$11))</f>
        <v/>
      </c>
      <c r="U68" s="26" t="str">
        <f>IF($B68="","",IF(1&gt;Variables!$C$11,0,COUNTIFS(POS_Time,"&gt;="&amp;($C68+CONVERT(Variables!$C$12,"sec","day")),POS_Time,"&lt;="&amp;($D68-CONVERT(Variables!$C$12+1,"sec","day")),POS_Q,"=1")))</f>
        <v/>
      </c>
      <c r="V68" s="26" t="str">
        <f>IF($B68="","",IF(2&gt;Variables!$C$11,0,COUNTIFS(POS_Time,"&gt;="&amp;($C68+CONVERT(Variables!$C$12,"sec","day")),POS_Time,"&lt;="&amp;($D68-CONVERT(Variables!$C$12+1,"sec","day")),POS_Q,"=2")))</f>
        <v/>
      </c>
      <c r="W68" s="26" t="str">
        <f>IF($B68="","",IF(3&gt;Variables!$C$11,0,COUNTIFS(POS_Time,"&gt;="&amp;($C68+CONVERT(Variables!$C$12,"sec","day")),POS_Time,"&lt;="&amp;($D68-CONVERT(Variables!$C$12+1,"sec","day")),POS_Q,"=3")))</f>
        <v/>
      </c>
      <c r="X68" s="26" t="str">
        <f>IF($B68="","",IF(4&gt;Variables!$C$11,0,COUNTIFS(POS_Time,"&gt;="&amp;($C68+CONVERT(Variables!$C$12,"sec","day")),POS_Time,"&lt;="&amp;($D68-CONVERT(Variables!$C$12+1,"sec","day")),POS_Q,"=4")))</f>
        <v/>
      </c>
      <c r="Y68" s="26" t="str">
        <f>IF($B68="","",IF(5&gt;Variables!$C$11,0,COUNTIFS(POS_Time,"&gt;="&amp;($C68+CONVERT(Variables!$C$12,"sec","day")),POS_Time,"&lt;="&amp;($D68-CONVERT(Variables!$C$12+1,"sec","day")),POS_Q,"=5")))</f>
        <v/>
      </c>
      <c r="Z68" s="26" t="str">
        <f>IF($B68="","",IF(6&gt;Variables!$C$11,0,COUNTIFS(POS_Time,"&gt;="&amp;($C68+CONVERT(Variables!$C$12,"sec","day")),POS_Time,"&lt;="&amp;($D68-CONVERT(Variables!$C$12+1,"sec","day")),POS_Q,"=6")))</f>
        <v/>
      </c>
    </row>
    <row r="69" spans="1:26" x14ac:dyDescent="0.25">
      <c r="A69" s="2">
        <v>68</v>
      </c>
      <c r="B69" s="27" t="str">
        <f>IF((ROW()-1)&lt;=RoverStations,'Rover CSV Data'!B69,"")</f>
        <v/>
      </c>
      <c r="C69" s="28" t="str">
        <f>IF($B69="","",DATEVALUE(LEFT('Rover CSV Data'!F69,FIND(" ",'Rover CSV Data'!F69)-1))+TIMEVALUE(MID('Rover CSV Data'!F69,LEN('Rover CSV Data'!F69)-FIND(" ",'Rover CSV Data'!F69),(FIND(" UTC",'Rover CSV Data'!F69))-(LEN('Rover CSV Data'!F69)-FIND(" ",'Rover CSV Data'!F69)))))</f>
        <v/>
      </c>
      <c r="D69" s="28" t="str">
        <f>IF($B69="","",DATEVALUE(LEFT('Rover CSV Data'!G69,FIND(" ",'Rover CSV Data'!G69)-1))+TIMEVALUE(MID('Rover CSV Data'!G69,LEN('Rover CSV Data'!G69)-FIND(" ",'Rover CSV Data'!G69),(FIND(" UTC",'Rover CSV Data'!G69))-(LEN('Rover CSV Data'!G69)-FIND(" ",'Rover CSV Data'!G69)))))</f>
        <v/>
      </c>
      <c r="E69" s="29" t="str">
        <f t="shared" si="1"/>
        <v/>
      </c>
      <c r="F69" s="26" t="str">
        <f>IF($B69="","",'Rover CSV Data'!J69)</f>
        <v/>
      </c>
      <c r="G69" s="26" t="str">
        <f>IF($B69="","",AVERAGEIFS(POS_Lat,POS_Time,"&gt;="&amp;($C69+CONVERT(Variables!$C$12,"sec","day")),POS_Time,"&lt;="&amp;($D69-CONVERT(Variables!$C$12+1,"sec","day")),POS_Q,"&lt;="&amp;Variables!$C$11))</f>
        <v/>
      </c>
      <c r="H69" s="26" t="str">
        <f>IF($B69="","",AVERAGEIFS(POS_Long,POS_Time,"&gt;="&amp;($C69+CONVERT(Variables!$C$12,"sec","day")),POS_Time,"&lt;="&amp;($D69-CONVERT(Variables!$C$12+1,"sec","day")),POS_Q,"&lt;="&amp;Variables!$C$11))</f>
        <v/>
      </c>
      <c r="I69" s="30" t="str">
        <f>IF($B69="","",AVERAGEIFS(POS_elev,POS_Time,"&gt;="&amp;($C69+CONVERT(Variables!$C$12,"sec","day")),POS_Time,"&lt;="&amp;($D69-CONVERT(Variables!$C$12+1,"sec","day")),POS_Q,"&lt;="&amp;Variables!$C$11)-S69)</f>
        <v/>
      </c>
      <c r="J69" s="26" t="str">
        <f>IF($B69="","",'Rover CSV Data'!D69)</f>
        <v/>
      </c>
      <c r="K69" s="26" t="str">
        <f>IF($B69="","",'Rover CSV Data'!C69)</f>
        <v/>
      </c>
      <c r="L69" s="26" t="str">
        <f>IF($B69="","",'Rover CSV Data'!E69)</f>
        <v/>
      </c>
      <c r="M69" s="30" t="str">
        <f>IF($B69="","",AVERAGEIFS(sdn,POS_Time,"&gt;="&amp;($C69+CONVERT(Variables!$C$12,"sec","day")),POS_Time,"&lt;="&amp;($D69-CONVERT(Variables!$C$12+1,"sec","day")),POS_Q,"&lt;="&amp;Variables!$C$11))</f>
        <v/>
      </c>
      <c r="N69" s="31" t="str">
        <f>IF($B69="","",AVERAGEIFS(sde,POS_Time,"&gt;="&amp;($C69+CONVERT(Variables!$C$12,"sec","day")),POS_Time,"&lt;="&amp;($D69-CONVERT(Variables!$C$12+1,"sec","day")),POS_Q,"&lt;="&amp;Variables!$C$11))</f>
        <v/>
      </c>
      <c r="O69" s="31" t="str">
        <f>IF($B69="","",AVERAGEIFS(sdu,POS_Time,"&gt;="&amp;($C69+CONVERT(Variables!$C$12,"sec","day")),POS_Time,"&lt;="&amp;($D69-CONVERT(Variables!$C$12+1,"sec","day")),POS_Q,"&lt;="&amp;Variables!$C$11))</f>
        <v/>
      </c>
      <c r="P69" s="32" t="str">
        <f t="array" ref="P69">IF($B69="","",STDEV(IF(POS_Time&gt;=($C69+CONVERT(Variables!$C$12,"sec","day")),IF(POS_Time&lt;=($D69-CONVERT(Variables!$C$12+1,"sec","day")),IF(POS_Q&lt;=Variables!$C$11,POS_Lat)))))</f>
        <v/>
      </c>
      <c r="Q69" s="32" t="str">
        <f t="array" ref="Q69">IF($B69="","",STDEV(IF(POS_Time&gt;=($C69+CONVERT(Variables!$C$12,"sec","day")),IF(POS_Time&lt;=($D69-CONVERT(Variables!$C$12+1,"sec","day")),IF(POS_Q&lt;=Variables!$C$11,POS_Long)))))</f>
        <v/>
      </c>
      <c r="R69" s="32" t="str">
        <f t="array" ref="R69">IF($B69="","",STDEV(IF(POS_Time&gt;=($C69+CONVERT(Variables!$C$12,"sec","day")),IF(POS_Time&lt;=($D69-CONVERT(Variables!$C$12+1,"sec","day")),IF(POS_Q&lt;=Variables!$C$11,POS_elev)))))</f>
        <v/>
      </c>
      <c r="S69" s="30" t="str">
        <f>IF($B69="","",'Rover CSV Data'!K69)</f>
        <v/>
      </c>
      <c r="T69" s="26" t="str">
        <f>IF($B69="","",COUNTIFS(POS_Time,"&gt;="&amp;($C69+CONVERT(Variables!$C$12,"sec","day")),POS_Time,"&lt;="&amp;($D69-CONVERT(Variables!$C$12+1,"sec","day")),POS_Q,"&lt;="&amp;Variables!$C$11))</f>
        <v/>
      </c>
      <c r="U69" s="26" t="str">
        <f>IF($B69="","",IF(1&gt;Variables!$C$11,0,COUNTIFS(POS_Time,"&gt;="&amp;($C69+CONVERT(Variables!$C$12,"sec","day")),POS_Time,"&lt;="&amp;($D69-CONVERT(Variables!$C$12+1,"sec","day")),POS_Q,"=1")))</f>
        <v/>
      </c>
      <c r="V69" s="26" t="str">
        <f>IF($B69="","",IF(2&gt;Variables!$C$11,0,COUNTIFS(POS_Time,"&gt;="&amp;($C69+CONVERT(Variables!$C$12,"sec","day")),POS_Time,"&lt;="&amp;($D69-CONVERT(Variables!$C$12+1,"sec","day")),POS_Q,"=2")))</f>
        <v/>
      </c>
      <c r="W69" s="26" t="str">
        <f>IF($B69="","",IF(3&gt;Variables!$C$11,0,COUNTIFS(POS_Time,"&gt;="&amp;($C69+CONVERT(Variables!$C$12,"sec","day")),POS_Time,"&lt;="&amp;($D69-CONVERT(Variables!$C$12+1,"sec","day")),POS_Q,"=3")))</f>
        <v/>
      </c>
      <c r="X69" s="26" t="str">
        <f>IF($B69="","",IF(4&gt;Variables!$C$11,0,COUNTIFS(POS_Time,"&gt;="&amp;($C69+CONVERT(Variables!$C$12,"sec","day")),POS_Time,"&lt;="&amp;($D69-CONVERT(Variables!$C$12+1,"sec","day")),POS_Q,"=4")))</f>
        <v/>
      </c>
      <c r="Y69" s="26" t="str">
        <f>IF($B69="","",IF(5&gt;Variables!$C$11,0,COUNTIFS(POS_Time,"&gt;="&amp;($C69+CONVERT(Variables!$C$12,"sec","day")),POS_Time,"&lt;="&amp;($D69-CONVERT(Variables!$C$12+1,"sec","day")),POS_Q,"=5")))</f>
        <v/>
      </c>
      <c r="Z69" s="26" t="str">
        <f>IF($B69="","",IF(6&gt;Variables!$C$11,0,COUNTIFS(POS_Time,"&gt;="&amp;($C69+CONVERT(Variables!$C$12,"sec","day")),POS_Time,"&lt;="&amp;($D69-CONVERT(Variables!$C$12+1,"sec","day")),POS_Q,"=6")))</f>
        <v/>
      </c>
    </row>
    <row r="70" spans="1:26" x14ac:dyDescent="0.25">
      <c r="A70" s="2">
        <v>69</v>
      </c>
      <c r="B70" s="27" t="str">
        <f>IF((ROW()-1)&lt;=RoverStations,'Rover CSV Data'!B70,"")</f>
        <v/>
      </c>
      <c r="C70" s="28" t="str">
        <f>IF($B70="","",DATEVALUE(LEFT('Rover CSV Data'!F70,FIND(" ",'Rover CSV Data'!F70)-1))+TIMEVALUE(MID('Rover CSV Data'!F70,LEN('Rover CSV Data'!F70)-FIND(" ",'Rover CSV Data'!F70),(FIND(" UTC",'Rover CSV Data'!F70))-(LEN('Rover CSV Data'!F70)-FIND(" ",'Rover CSV Data'!F70)))))</f>
        <v/>
      </c>
      <c r="D70" s="28" t="str">
        <f>IF($B70="","",DATEVALUE(LEFT('Rover CSV Data'!G70,FIND(" ",'Rover CSV Data'!G70)-1))+TIMEVALUE(MID('Rover CSV Data'!G70,LEN('Rover CSV Data'!G70)-FIND(" ",'Rover CSV Data'!G70),(FIND(" UTC",'Rover CSV Data'!G70))-(LEN('Rover CSV Data'!G70)-FIND(" ",'Rover CSV Data'!G70)))))</f>
        <v/>
      </c>
      <c r="E70" s="29" t="str">
        <f t="shared" si="1"/>
        <v/>
      </c>
      <c r="F70" s="26" t="str">
        <f>IF($B70="","",'Rover CSV Data'!J70)</f>
        <v/>
      </c>
      <c r="G70" s="26" t="str">
        <f>IF($B70="","",AVERAGEIFS(POS_Lat,POS_Time,"&gt;="&amp;($C70+CONVERT(Variables!$C$12,"sec","day")),POS_Time,"&lt;="&amp;($D70-CONVERT(Variables!$C$12+1,"sec","day")),POS_Q,"&lt;="&amp;Variables!$C$11))</f>
        <v/>
      </c>
      <c r="H70" s="26" t="str">
        <f>IF($B70="","",AVERAGEIFS(POS_Long,POS_Time,"&gt;="&amp;($C70+CONVERT(Variables!$C$12,"sec","day")),POS_Time,"&lt;="&amp;($D70-CONVERT(Variables!$C$12+1,"sec","day")),POS_Q,"&lt;="&amp;Variables!$C$11))</f>
        <v/>
      </c>
      <c r="I70" s="30" t="str">
        <f>IF($B70="","",AVERAGEIFS(POS_elev,POS_Time,"&gt;="&amp;($C70+CONVERT(Variables!$C$12,"sec","day")),POS_Time,"&lt;="&amp;($D70-CONVERT(Variables!$C$12+1,"sec","day")),POS_Q,"&lt;="&amp;Variables!$C$11)-S70)</f>
        <v/>
      </c>
      <c r="J70" s="26" t="str">
        <f>IF($B70="","",'Rover CSV Data'!D70)</f>
        <v/>
      </c>
      <c r="K70" s="26" t="str">
        <f>IF($B70="","",'Rover CSV Data'!C70)</f>
        <v/>
      </c>
      <c r="L70" s="26" t="str">
        <f>IF($B70="","",'Rover CSV Data'!E70)</f>
        <v/>
      </c>
      <c r="M70" s="30" t="str">
        <f>IF($B70="","",AVERAGEIFS(sdn,POS_Time,"&gt;="&amp;($C70+CONVERT(Variables!$C$12,"sec","day")),POS_Time,"&lt;="&amp;($D70-CONVERT(Variables!$C$12+1,"sec","day")),POS_Q,"&lt;="&amp;Variables!$C$11))</f>
        <v/>
      </c>
      <c r="N70" s="31" t="str">
        <f>IF($B70="","",AVERAGEIFS(sde,POS_Time,"&gt;="&amp;($C70+CONVERT(Variables!$C$12,"sec","day")),POS_Time,"&lt;="&amp;($D70-CONVERT(Variables!$C$12+1,"sec","day")),POS_Q,"&lt;="&amp;Variables!$C$11))</f>
        <v/>
      </c>
      <c r="O70" s="31" t="str">
        <f>IF($B70="","",AVERAGEIFS(sdu,POS_Time,"&gt;="&amp;($C70+CONVERT(Variables!$C$12,"sec","day")),POS_Time,"&lt;="&amp;($D70-CONVERT(Variables!$C$12+1,"sec","day")),POS_Q,"&lt;="&amp;Variables!$C$11))</f>
        <v/>
      </c>
      <c r="P70" s="32" t="str">
        <f t="array" ref="P70">IF($B70="","",STDEV(IF(POS_Time&gt;=($C70+CONVERT(Variables!$C$12,"sec","day")),IF(POS_Time&lt;=($D70-CONVERT(Variables!$C$12+1,"sec","day")),IF(POS_Q&lt;=Variables!$C$11,POS_Lat)))))</f>
        <v/>
      </c>
      <c r="Q70" s="32" t="str">
        <f t="array" ref="Q70">IF($B70="","",STDEV(IF(POS_Time&gt;=($C70+CONVERT(Variables!$C$12,"sec","day")),IF(POS_Time&lt;=($D70-CONVERT(Variables!$C$12+1,"sec","day")),IF(POS_Q&lt;=Variables!$C$11,POS_Long)))))</f>
        <v/>
      </c>
      <c r="R70" s="32" t="str">
        <f t="array" ref="R70">IF($B70="","",STDEV(IF(POS_Time&gt;=($C70+CONVERT(Variables!$C$12,"sec","day")),IF(POS_Time&lt;=($D70-CONVERT(Variables!$C$12+1,"sec","day")),IF(POS_Q&lt;=Variables!$C$11,POS_elev)))))</f>
        <v/>
      </c>
      <c r="S70" s="30" t="str">
        <f>IF($B70="","",'Rover CSV Data'!K70)</f>
        <v/>
      </c>
      <c r="T70" s="26" t="str">
        <f>IF($B70="","",COUNTIFS(POS_Time,"&gt;="&amp;($C70+CONVERT(Variables!$C$12,"sec","day")),POS_Time,"&lt;="&amp;($D70-CONVERT(Variables!$C$12+1,"sec","day")),POS_Q,"&lt;="&amp;Variables!$C$11))</f>
        <v/>
      </c>
      <c r="U70" s="26" t="str">
        <f>IF($B70="","",IF(1&gt;Variables!$C$11,0,COUNTIFS(POS_Time,"&gt;="&amp;($C70+CONVERT(Variables!$C$12,"sec","day")),POS_Time,"&lt;="&amp;($D70-CONVERT(Variables!$C$12+1,"sec","day")),POS_Q,"=1")))</f>
        <v/>
      </c>
      <c r="V70" s="26" t="str">
        <f>IF($B70="","",IF(2&gt;Variables!$C$11,0,COUNTIFS(POS_Time,"&gt;="&amp;($C70+CONVERT(Variables!$C$12,"sec","day")),POS_Time,"&lt;="&amp;($D70-CONVERT(Variables!$C$12+1,"sec","day")),POS_Q,"=2")))</f>
        <v/>
      </c>
      <c r="W70" s="26" t="str">
        <f>IF($B70="","",IF(3&gt;Variables!$C$11,0,COUNTIFS(POS_Time,"&gt;="&amp;($C70+CONVERT(Variables!$C$12,"sec","day")),POS_Time,"&lt;="&amp;($D70-CONVERT(Variables!$C$12+1,"sec","day")),POS_Q,"=3")))</f>
        <v/>
      </c>
      <c r="X70" s="26" t="str">
        <f>IF($B70="","",IF(4&gt;Variables!$C$11,0,COUNTIFS(POS_Time,"&gt;="&amp;($C70+CONVERT(Variables!$C$12,"sec","day")),POS_Time,"&lt;="&amp;($D70-CONVERT(Variables!$C$12+1,"sec","day")),POS_Q,"=4")))</f>
        <v/>
      </c>
      <c r="Y70" s="26" t="str">
        <f>IF($B70="","",IF(5&gt;Variables!$C$11,0,COUNTIFS(POS_Time,"&gt;="&amp;($C70+CONVERT(Variables!$C$12,"sec","day")),POS_Time,"&lt;="&amp;($D70-CONVERT(Variables!$C$12+1,"sec","day")),POS_Q,"=5")))</f>
        <v/>
      </c>
      <c r="Z70" s="26" t="str">
        <f>IF($B70="","",IF(6&gt;Variables!$C$11,0,COUNTIFS(POS_Time,"&gt;="&amp;($C70+CONVERT(Variables!$C$12,"sec","day")),POS_Time,"&lt;="&amp;($D70-CONVERT(Variables!$C$12+1,"sec","day")),POS_Q,"=6")))</f>
        <v/>
      </c>
    </row>
    <row r="71" spans="1:26" x14ac:dyDescent="0.25">
      <c r="A71" s="2">
        <v>70</v>
      </c>
      <c r="B71" s="27" t="str">
        <f>IF((ROW()-1)&lt;=RoverStations,'Rover CSV Data'!B71,"")</f>
        <v/>
      </c>
      <c r="C71" s="28" t="str">
        <f>IF($B71="","",DATEVALUE(LEFT('Rover CSV Data'!F71,FIND(" ",'Rover CSV Data'!F71)-1))+TIMEVALUE(MID('Rover CSV Data'!F71,LEN('Rover CSV Data'!F71)-FIND(" ",'Rover CSV Data'!F71),(FIND(" UTC",'Rover CSV Data'!F71))-(LEN('Rover CSV Data'!F71)-FIND(" ",'Rover CSV Data'!F71)))))</f>
        <v/>
      </c>
      <c r="D71" s="28" t="str">
        <f>IF($B71="","",DATEVALUE(LEFT('Rover CSV Data'!G71,FIND(" ",'Rover CSV Data'!G71)-1))+TIMEVALUE(MID('Rover CSV Data'!G71,LEN('Rover CSV Data'!G71)-FIND(" ",'Rover CSV Data'!G71),(FIND(" UTC",'Rover CSV Data'!G71))-(LEN('Rover CSV Data'!G71)-FIND(" ",'Rover CSV Data'!G71)))))</f>
        <v/>
      </c>
      <c r="E71" s="29" t="str">
        <f t="shared" si="1"/>
        <v/>
      </c>
      <c r="F71" s="26" t="str">
        <f>IF($B71="","",'Rover CSV Data'!J71)</f>
        <v/>
      </c>
      <c r="G71" s="26" t="str">
        <f>IF($B71="","",AVERAGEIFS(POS_Lat,POS_Time,"&gt;="&amp;($C71+CONVERT(Variables!$C$12,"sec","day")),POS_Time,"&lt;="&amp;($D71-CONVERT(Variables!$C$12+1,"sec","day")),POS_Q,"&lt;="&amp;Variables!$C$11))</f>
        <v/>
      </c>
      <c r="H71" s="26" t="str">
        <f>IF($B71="","",AVERAGEIFS(POS_Long,POS_Time,"&gt;="&amp;($C71+CONVERT(Variables!$C$12,"sec","day")),POS_Time,"&lt;="&amp;($D71-CONVERT(Variables!$C$12+1,"sec","day")),POS_Q,"&lt;="&amp;Variables!$C$11))</f>
        <v/>
      </c>
      <c r="I71" s="30" t="str">
        <f>IF($B71="","",AVERAGEIFS(POS_elev,POS_Time,"&gt;="&amp;($C71+CONVERT(Variables!$C$12,"sec","day")),POS_Time,"&lt;="&amp;($D71-CONVERT(Variables!$C$12+1,"sec","day")),POS_Q,"&lt;="&amp;Variables!$C$11)-S71)</f>
        <v/>
      </c>
      <c r="J71" s="26" t="str">
        <f>IF($B71="","",'Rover CSV Data'!D71)</f>
        <v/>
      </c>
      <c r="K71" s="26" t="str">
        <f>IF($B71="","",'Rover CSV Data'!C71)</f>
        <v/>
      </c>
      <c r="L71" s="26" t="str">
        <f>IF($B71="","",'Rover CSV Data'!E71)</f>
        <v/>
      </c>
      <c r="M71" s="30" t="str">
        <f>IF($B71="","",AVERAGEIFS(sdn,POS_Time,"&gt;="&amp;($C71+CONVERT(Variables!$C$12,"sec","day")),POS_Time,"&lt;="&amp;($D71-CONVERT(Variables!$C$12+1,"sec","day")),POS_Q,"&lt;="&amp;Variables!$C$11))</f>
        <v/>
      </c>
      <c r="N71" s="31" t="str">
        <f>IF($B71="","",AVERAGEIFS(sde,POS_Time,"&gt;="&amp;($C71+CONVERT(Variables!$C$12,"sec","day")),POS_Time,"&lt;="&amp;($D71-CONVERT(Variables!$C$12+1,"sec","day")),POS_Q,"&lt;="&amp;Variables!$C$11))</f>
        <v/>
      </c>
      <c r="O71" s="31" t="str">
        <f>IF($B71="","",AVERAGEIFS(sdu,POS_Time,"&gt;="&amp;($C71+CONVERT(Variables!$C$12,"sec","day")),POS_Time,"&lt;="&amp;($D71-CONVERT(Variables!$C$12+1,"sec","day")),POS_Q,"&lt;="&amp;Variables!$C$11))</f>
        <v/>
      </c>
      <c r="P71" s="32" t="str">
        <f t="array" ref="P71">IF($B71="","",STDEV(IF(POS_Time&gt;=($C71+CONVERT(Variables!$C$12,"sec","day")),IF(POS_Time&lt;=($D71-CONVERT(Variables!$C$12+1,"sec","day")),IF(POS_Q&lt;=Variables!$C$11,POS_Lat)))))</f>
        <v/>
      </c>
      <c r="Q71" s="32" t="str">
        <f t="array" ref="Q71">IF($B71="","",STDEV(IF(POS_Time&gt;=($C71+CONVERT(Variables!$C$12,"sec","day")),IF(POS_Time&lt;=($D71-CONVERT(Variables!$C$12+1,"sec","day")),IF(POS_Q&lt;=Variables!$C$11,POS_Long)))))</f>
        <v/>
      </c>
      <c r="R71" s="32" t="str">
        <f t="array" ref="R71">IF($B71="","",STDEV(IF(POS_Time&gt;=($C71+CONVERT(Variables!$C$12,"sec","day")),IF(POS_Time&lt;=($D71-CONVERT(Variables!$C$12+1,"sec","day")),IF(POS_Q&lt;=Variables!$C$11,POS_elev)))))</f>
        <v/>
      </c>
      <c r="S71" s="30" t="str">
        <f>IF($B71="","",'Rover CSV Data'!K71)</f>
        <v/>
      </c>
      <c r="T71" s="26" t="str">
        <f>IF($B71="","",COUNTIFS(POS_Time,"&gt;="&amp;($C71+CONVERT(Variables!$C$12,"sec","day")),POS_Time,"&lt;="&amp;($D71-CONVERT(Variables!$C$12+1,"sec","day")),POS_Q,"&lt;="&amp;Variables!$C$11))</f>
        <v/>
      </c>
      <c r="U71" s="26" t="str">
        <f>IF($B71="","",IF(1&gt;Variables!$C$11,0,COUNTIFS(POS_Time,"&gt;="&amp;($C71+CONVERT(Variables!$C$12,"sec","day")),POS_Time,"&lt;="&amp;($D71-CONVERT(Variables!$C$12+1,"sec","day")),POS_Q,"=1")))</f>
        <v/>
      </c>
      <c r="V71" s="26" t="str">
        <f>IF($B71="","",IF(2&gt;Variables!$C$11,0,COUNTIFS(POS_Time,"&gt;="&amp;($C71+CONVERT(Variables!$C$12,"sec","day")),POS_Time,"&lt;="&amp;($D71-CONVERT(Variables!$C$12+1,"sec","day")),POS_Q,"=2")))</f>
        <v/>
      </c>
      <c r="W71" s="26" t="str">
        <f>IF($B71="","",IF(3&gt;Variables!$C$11,0,COUNTIFS(POS_Time,"&gt;="&amp;($C71+CONVERT(Variables!$C$12,"sec","day")),POS_Time,"&lt;="&amp;($D71-CONVERT(Variables!$C$12+1,"sec","day")),POS_Q,"=3")))</f>
        <v/>
      </c>
      <c r="X71" s="26" t="str">
        <f>IF($B71="","",IF(4&gt;Variables!$C$11,0,COUNTIFS(POS_Time,"&gt;="&amp;($C71+CONVERT(Variables!$C$12,"sec","day")),POS_Time,"&lt;="&amp;($D71-CONVERT(Variables!$C$12+1,"sec","day")),POS_Q,"=4")))</f>
        <v/>
      </c>
      <c r="Y71" s="26" t="str">
        <f>IF($B71="","",IF(5&gt;Variables!$C$11,0,COUNTIFS(POS_Time,"&gt;="&amp;($C71+CONVERT(Variables!$C$12,"sec","day")),POS_Time,"&lt;="&amp;($D71-CONVERT(Variables!$C$12+1,"sec","day")),POS_Q,"=5")))</f>
        <v/>
      </c>
      <c r="Z71" s="26" t="str">
        <f>IF($B71="","",IF(6&gt;Variables!$C$11,0,COUNTIFS(POS_Time,"&gt;="&amp;($C71+CONVERT(Variables!$C$12,"sec","day")),POS_Time,"&lt;="&amp;($D71-CONVERT(Variables!$C$12+1,"sec","day")),POS_Q,"=6")))</f>
        <v/>
      </c>
    </row>
    <row r="72" spans="1:26" x14ac:dyDescent="0.25">
      <c r="A72" s="2">
        <v>71</v>
      </c>
      <c r="B72" s="27" t="str">
        <f>IF((ROW()-1)&lt;=RoverStations,'Rover CSV Data'!B72,"")</f>
        <v/>
      </c>
      <c r="C72" s="28" t="str">
        <f>IF($B72="","",DATEVALUE(LEFT('Rover CSV Data'!F72,FIND(" ",'Rover CSV Data'!F72)-1))+TIMEVALUE(MID('Rover CSV Data'!F72,LEN('Rover CSV Data'!F72)-FIND(" ",'Rover CSV Data'!F72),(FIND(" UTC",'Rover CSV Data'!F72))-(LEN('Rover CSV Data'!F72)-FIND(" ",'Rover CSV Data'!F72)))))</f>
        <v/>
      </c>
      <c r="D72" s="28" t="str">
        <f>IF($B72="","",DATEVALUE(LEFT('Rover CSV Data'!G72,FIND(" ",'Rover CSV Data'!G72)-1))+TIMEVALUE(MID('Rover CSV Data'!G72,LEN('Rover CSV Data'!G72)-FIND(" ",'Rover CSV Data'!G72),(FIND(" UTC",'Rover CSV Data'!G72))-(LEN('Rover CSV Data'!G72)-FIND(" ",'Rover CSV Data'!G72)))))</f>
        <v/>
      </c>
      <c r="E72" s="29" t="str">
        <f t="shared" si="1"/>
        <v/>
      </c>
      <c r="F72" s="26" t="str">
        <f>IF($B72="","",'Rover CSV Data'!J72)</f>
        <v/>
      </c>
      <c r="G72" s="26" t="str">
        <f>IF($B72="","",AVERAGEIFS(POS_Lat,POS_Time,"&gt;="&amp;($C72+CONVERT(Variables!$C$12,"sec","day")),POS_Time,"&lt;="&amp;($D72-CONVERT(Variables!$C$12+1,"sec","day")),POS_Q,"&lt;="&amp;Variables!$C$11))</f>
        <v/>
      </c>
      <c r="H72" s="26" t="str">
        <f>IF($B72="","",AVERAGEIFS(POS_Long,POS_Time,"&gt;="&amp;($C72+CONVERT(Variables!$C$12,"sec","day")),POS_Time,"&lt;="&amp;($D72-CONVERT(Variables!$C$12+1,"sec","day")),POS_Q,"&lt;="&amp;Variables!$C$11))</f>
        <v/>
      </c>
      <c r="I72" s="30" t="str">
        <f>IF($B72="","",AVERAGEIFS(POS_elev,POS_Time,"&gt;="&amp;($C72+CONVERT(Variables!$C$12,"sec","day")),POS_Time,"&lt;="&amp;($D72-CONVERT(Variables!$C$12+1,"sec","day")),POS_Q,"&lt;="&amp;Variables!$C$11)-S72)</f>
        <v/>
      </c>
      <c r="J72" s="26" t="str">
        <f>IF($B72="","",'Rover CSV Data'!D72)</f>
        <v/>
      </c>
      <c r="K72" s="26" t="str">
        <f>IF($B72="","",'Rover CSV Data'!C72)</f>
        <v/>
      </c>
      <c r="L72" s="26" t="str">
        <f>IF($B72="","",'Rover CSV Data'!E72)</f>
        <v/>
      </c>
      <c r="M72" s="30" t="str">
        <f>IF($B72="","",AVERAGEIFS(sdn,POS_Time,"&gt;="&amp;($C72+CONVERT(Variables!$C$12,"sec","day")),POS_Time,"&lt;="&amp;($D72-CONVERT(Variables!$C$12+1,"sec","day")),POS_Q,"&lt;="&amp;Variables!$C$11))</f>
        <v/>
      </c>
      <c r="N72" s="31" t="str">
        <f>IF($B72="","",AVERAGEIFS(sde,POS_Time,"&gt;="&amp;($C72+CONVERT(Variables!$C$12,"sec","day")),POS_Time,"&lt;="&amp;($D72-CONVERT(Variables!$C$12+1,"sec","day")),POS_Q,"&lt;="&amp;Variables!$C$11))</f>
        <v/>
      </c>
      <c r="O72" s="31" t="str">
        <f>IF($B72="","",AVERAGEIFS(sdu,POS_Time,"&gt;="&amp;($C72+CONVERT(Variables!$C$12,"sec","day")),POS_Time,"&lt;="&amp;($D72-CONVERT(Variables!$C$12+1,"sec","day")),POS_Q,"&lt;="&amp;Variables!$C$11))</f>
        <v/>
      </c>
      <c r="P72" s="32" t="str">
        <f t="array" ref="P72">IF($B72="","",STDEV(IF(POS_Time&gt;=($C72+CONVERT(Variables!$C$12,"sec","day")),IF(POS_Time&lt;=($D72-CONVERT(Variables!$C$12+1,"sec","day")),IF(POS_Q&lt;=Variables!$C$11,POS_Lat)))))</f>
        <v/>
      </c>
      <c r="Q72" s="32" t="str">
        <f t="array" ref="Q72">IF($B72="","",STDEV(IF(POS_Time&gt;=($C72+CONVERT(Variables!$C$12,"sec","day")),IF(POS_Time&lt;=($D72-CONVERT(Variables!$C$12+1,"sec","day")),IF(POS_Q&lt;=Variables!$C$11,POS_Long)))))</f>
        <v/>
      </c>
      <c r="R72" s="32" t="str">
        <f t="array" ref="R72">IF($B72="","",STDEV(IF(POS_Time&gt;=($C72+CONVERT(Variables!$C$12,"sec","day")),IF(POS_Time&lt;=($D72-CONVERT(Variables!$C$12+1,"sec","day")),IF(POS_Q&lt;=Variables!$C$11,POS_elev)))))</f>
        <v/>
      </c>
      <c r="S72" s="30" t="str">
        <f>IF($B72="","",'Rover CSV Data'!K72)</f>
        <v/>
      </c>
      <c r="T72" s="26" t="str">
        <f>IF($B72="","",COUNTIFS(POS_Time,"&gt;="&amp;($C72+CONVERT(Variables!$C$12,"sec","day")),POS_Time,"&lt;="&amp;($D72-CONVERT(Variables!$C$12+1,"sec","day")),POS_Q,"&lt;="&amp;Variables!$C$11))</f>
        <v/>
      </c>
      <c r="U72" s="26" t="str">
        <f>IF($B72="","",IF(1&gt;Variables!$C$11,0,COUNTIFS(POS_Time,"&gt;="&amp;($C72+CONVERT(Variables!$C$12,"sec","day")),POS_Time,"&lt;="&amp;($D72-CONVERT(Variables!$C$12+1,"sec","day")),POS_Q,"=1")))</f>
        <v/>
      </c>
      <c r="V72" s="26" t="str">
        <f>IF($B72="","",IF(2&gt;Variables!$C$11,0,COUNTIFS(POS_Time,"&gt;="&amp;($C72+CONVERT(Variables!$C$12,"sec","day")),POS_Time,"&lt;="&amp;($D72-CONVERT(Variables!$C$12+1,"sec","day")),POS_Q,"=2")))</f>
        <v/>
      </c>
      <c r="W72" s="26" t="str">
        <f>IF($B72="","",IF(3&gt;Variables!$C$11,0,COUNTIFS(POS_Time,"&gt;="&amp;($C72+CONVERT(Variables!$C$12,"sec","day")),POS_Time,"&lt;="&amp;($D72-CONVERT(Variables!$C$12+1,"sec","day")),POS_Q,"=3")))</f>
        <v/>
      </c>
      <c r="X72" s="26" t="str">
        <f>IF($B72="","",IF(4&gt;Variables!$C$11,0,COUNTIFS(POS_Time,"&gt;="&amp;($C72+CONVERT(Variables!$C$12,"sec","day")),POS_Time,"&lt;="&amp;($D72-CONVERT(Variables!$C$12+1,"sec","day")),POS_Q,"=4")))</f>
        <v/>
      </c>
      <c r="Y72" s="26" t="str">
        <f>IF($B72="","",IF(5&gt;Variables!$C$11,0,COUNTIFS(POS_Time,"&gt;="&amp;($C72+CONVERT(Variables!$C$12,"sec","day")),POS_Time,"&lt;="&amp;($D72-CONVERT(Variables!$C$12+1,"sec","day")),POS_Q,"=5")))</f>
        <v/>
      </c>
      <c r="Z72" s="26" t="str">
        <f>IF($B72="","",IF(6&gt;Variables!$C$11,0,COUNTIFS(POS_Time,"&gt;="&amp;($C72+CONVERT(Variables!$C$12,"sec","day")),POS_Time,"&lt;="&amp;($D72-CONVERT(Variables!$C$12+1,"sec","day")),POS_Q,"=6")))</f>
        <v/>
      </c>
    </row>
    <row r="73" spans="1:26" x14ac:dyDescent="0.25">
      <c r="A73" s="2">
        <v>72</v>
      </c>
      <c r="B73" s="27" t="str">
        <f>IF((ROW()-1)&lt;=RoverStations,'Rover CSV Data'!B73,"")</f>
        <v/>
      </c>
      <c r="C73" s="28" t="str">
        <f>IF($B73="","",DATEVALUE(LEFT('Rover CSV Data'!F73,FIND(" ",'Rover CSV Data'!F73)-1))+TIMEVALUE(MID('Rover CSV Data'!F73,LEN('Rover CSV Data'!F73)-FIND(" ",'Rover CSV Data'!F73),(FIND(" UTC",'Rover CSV Data'!F73))-(LEN('Rover CSV Data'!F73)-FIND(" ",'Rover CSV Data'!F73)))))</f>
        <v/>
      </c>
      <c r="D73" s="28" t="str">
        <f>IF($B73="","",DATEVALUE(LEFT('Rover CSV Data'!G73,FIND(" ",'Rover CSV Data'!G73)-1))+TIMEVALUE(MID('Rover CSV Data'!G73,LEN('Rover CSV Data'!G73)-FIND(" ",'Rover CSV Data'!G73),(FIND(" UTC",'Rover CSV Data'!G73))-(LEN('Rover CSV Data'!G73)-FIND(" ",'Rover CSV Data'!G73)))))</f>
        <v/>
      </c>
      <c r="E73" s="29" t="str">
        <f t="shared" si="1"/>
        <v/>
      </c>
      <c r="F73" s="26" t="str">
        <f>IF($B73="","",'Rover CSV Data'!J73)</f>
        <v/>
      </c>
      <c r="G73" s="26" t="str">
        <f>IF($B73="","",AVERAGEIFS(POS_Lat,POS_Time,"&gt;="&amp;($C73+CONVERT(Variables!$C$12,"sec","day")),POS_Time,"&lt;="&amp;($D73-CONVERT(Variables!$C$12+1,"sec","day")),POS_Q,"&lt;="&amp;Variables!$C$11))</f>
        <v/>
      </c>
      <c r="H73" s="26" t="str">
        <f>IF($B73="","",AVERAGEIFS(POS_Long,POS_Time,"&gt;="&amp;($C73+CONVERT(Variables!$C$12,"sec","day")),POS_Time,"&lt;="&amp;($D73-CONVERT(Variables!$C$12+1,"sec","day")),POS_Q,"&lt;="&amp;Variables!$C$11))</f>
        <v/>
      </c>
      <c r="I73" s="30" t="str">
        <f>IF($B73="","",AVERAGEIFS(POS_elev,POS_Time,"&gt;="&amp;($C73+CONVERT(Variables!$C$12,"sec","day")),POS_Time,"&lt;="&amp;($D73-CONVERT(Variables!$C$12+1,"sec","day")),POS_Q,"&lt;="&amp;Variables!$C$11)-S73)</f>
        <v/>
      </c>
      <c r="J73" s="26" t="str">
        <f>IF($B73="","",'Rover CSV Data'!D73)</f>
        <v/>
      </c>
      <c r="K73" s="26" t="str">
        <f>IF($B73="","",'Rover CSV Data'!C73)</f>
        <v/>
      </c>
      <c r="L73" s="26" t="str">
        <f>IF($B73="","",'Rover CSV Data'!E73)</f>
        <v/>
      </c>
      <c r="M73" s="30" t="str">
        <f>IF($B73="","",AVERAGEIFS(sdn,POS_Time,"&gt;="&amp;($C73+CONVERT(Variables!$C$12,"sec","day")),POS_Time,"&lt;="&amp;($D73-CONVERT(Variables!$C$12+1,"sec","day")),POS_Q,"&lt;="&amp;Variables!$C$11))</f>
        <v/>
      </c>
      <c r="N73" s="31" t="str">
        <f>IF($B73="","",AVERAGEIFS(sde,POS_Time,"&gt;="&amp;($C73+CONVERT(Variables!$C$12,"sec","day")),POS_Time,"&lt;="&amp;($D73-CONVERT(Variables!$C$12+1,"sec","day")),POS_Q,"&lt;="&amp;Variables!$C$11))</f>
        <v/>
      </c>
      <c r="O73" s="31" t="str">
        <f>IF($B73="","",AVERAGEIFS(sdu,POS_Time,"&gt;="&amp;($C73+CONVERT(Variables!$C$12,"sec","day")),POS_Time,"&lt;="&amp;($D73-CONVERT(Variables!$C$12+1,"sec","day")),POS_Q,"&lt;="&amp;Variables!$C$11))</f>
        <v/>
      </c>
      <c r="P73" s="32" t="str">
        <f t="array" ref="P73">IF($B73="","",STDEV(IF(POS_Time&gt;=($C73+CONVERT(Variables!$C$12,"sec","day")),IF(POS_Time&lt;=($D73-CONVERT(Variables!$C$12+1,"sec","day")),IF(POS_Q&lt;=Variables!$C$11,POS_Lat)))))</f>
        <v/>
      </c>
      <c r="Q73" s="32" t="str">
        <f t="array" ref="Q73">IF($B73="","",STDEV(IF(POS_Time&gt;=($C73+CONVERT(Variables!$C$12,"sec","day")),IF(POS_Time&lt;=($D73-CONVERT(Variables!$C$12+1,"sec","day")),IF(POS_Q&lt;=Variables!$C$11,POS_Long)))))</f>
        <v/>
      </c>
      <c r="R73" s="32" t="str">
        <f t="array" ref="R73">IF($B73="","",STDEV(IF(POS_Time&gt;=($C73+CONVERT(Variables!$C$12,"sec","day")),IF(POS_Time&lt;=($D73-CONVERT(Variables!$C$12+1,"sec","day")),IF(POS_Q&lt;=Variables!$C$11,POS_elev)))))</f>
        <v/>
      </c>
      <c r="S73" s="30" t="str">
        <f>IF($B73="","",'Rover CSV Data'!K73)</f>
        <v/>
      </c>
      <c r="T73" s="26" t="str">
        <f>IF($B73="","",COUNTIFS(POS_Time,"&gt;="&amp;($C73+CONVERT(Variables!$C$12,"sec","day")),POS_Time,"&lt;="&amp;($D73-CONVERT(Variables!$C$12+1,"sec","day")),POS_Q,"&lt;="&amp;Variables!$C$11))</f>
        <v/>
      </c>
      <c r="U73" s="26" t="str">
        <f>IF($B73="","",IF(1&gt;Variables!$C$11,0,COUNTIFS(POS_Time,"&gt;="&amp;($C73+CONVERT(Variables!$C$12,"sec","day")),POS_Time,"&lt;="&amp;($D73-CONVERT(Variables!$C$12+1,"sec","day")),POS_Q,"=1")))</f>
        <v/>
      </c>
      <c r="V73" s="26" t="str">
        <f>IF($B73="","",IF(2&gt;Variables!$C$11,0,COUNTIFS(POS_Time,"&gt;="&amp;($C73+CONVERT(Variables!$C$12,"sec","day")),POS_Time,"&lt;="&amp;($D73-CONVERT(Variables!$C$12+1,"sec","day")),POS_Q,"=2")))</f>
        <v/>
      </c>
      <c r="W73" s="26" t="str">
        <f>IF($B73="","",IF(3&gt;Variables!$C$11,0,COUNTIFS(POS_Time,"&gt;="&amp;($C73+CONVERT(Variables!$C$12,"sec","day")),POS_Time,"&lt;="&amp;($D73-CONVERT(Variables!$C$12+1,"sec","day")),POS_Q,"=3")))</f>
        <v/>
      </c>
      <c r="X73" s="26" t="str">
        <f>IF($B73="","",IF(4&gt;Variables!$C$11,0,COUNTIFS(POS_Time,"&gt;="&amp;($C73+CONVERT(Variables!$C$12,"sec","day")),POS_Time,"&lt;="&amp;($D73-CONVERT(Variables!$C$12+1,"sec","day")),POS_Q,"=4")))</f>
        <v/>
      </c>
      <c r="Y73" s="26" t="str">
        <f>IF($B73="","",IF(5&gt;Variables!$C$11,0,COUNTIFS(POS_Time,"&gt;="&amp;($C73+CONVERT(Variables!$C$12,"sec","day")),POS_Time,"&lt;="&amp;($D73-CONVERT(Variables!$C$12+1,"sec","day")),POS_Q,"=5")))</f>
        <v/>
      </c>
      <c r="Z73" s="26" t="str">
        <f>IF($B73="","",IF(6&gt;Variables!$C$11,0,COUNTIFS(POS_Time,"&gt;="&amp;($C73+CONVERT(Variables!$C$12,"sec","day")),POS_Time,"&lt;="&amp;($D73-CONVERT(Variables!$C$12+1,"sec","day")),POS_Q,"=6")))</f>
        <v/>
      </c>
    </row>
    <row r="74" spans="1:26" x14ac:dyDescent="0.25">
      <c r="A74" s="2">
        <v>73</v>
      </c>
      <c r="B74" s="27" t="str">
        <f>IF((ROW()-1)&lt;=RoverStations,'Rover CSV Data'!B74,"")</f>
        <v/>
      </c>
      <c r="C74" s="28" t="str">
        <f>IF($B74="","",DATEVALUE(LEFT('Rover CSV Data'!F74,FIND(" ",'Rover CSV Data'!F74)-1))+TIMEVALUE(MID('Rover CSV Data'!F74,LEN('Rover CSV Data'!F74)-FIND(" ",'Rover CSV Data'!F74),(FIND(" UTC",'Rover CSV Data'!F74))-(LEN('Rover CSV Data'!F74)-FIND(" ",'Rover CSV Data'!F74)))))</f>
        <v/>
      </c>
      <c r="D74" s="28" t="str">
        <f>IF($B74="","",DATEVALUE(LEFT('Rover CSV Data'!G74,FIND(" ",'Rover CSV Data'!G74)-1))+TIMEVALUE(MID('Rover CSV Data'!G74,LEN('Rover CSV Data'!G74)-FIND(" ",'Rover CSV Data'!G74),(FIND(" UTC",'Rover CSV Data'!G74))-(LEN('Rover CSV Data'!G74)-FIND(" ",'Rover CSV Data'!G74)))))</f>
        <v/>
      </c>
      <c r="E74" s="29" t="str">
        <f t="shared" ref="E74:E137" si="2">IF($B74="","",CONVERT(D74-C74,"day","sec"))</f>
        <v/>
      </c>
      <c r="F74" s="26" t="str">
        <f>IF($B74="","",'Rover CSV Data'!J74)</f>
        <v/>
      </c>
      <c r="G74" s="26" t="str">
        <f>IF($B74="","",AVERAGEIFS(POS_Lat,POS_Time,"&gt;="&amp;($C74+CONVERT(Variables!$C$12,"sec","day")),POS_Time,"&lt;="&amp;($D74-CONVERT(Variables!$C$12+1,"sec","day")),POS_Q,"&lt;="&amp;Variables!$C$11))</f>
        <v/>
      </c>
      <c r="H74" s="26" t="str">
        <f>IF($B74="","",AVERAGEIFS(POS_Long,POS_Time,"&gt;="&amp;($C74+CONVERT(Variables!$C$12,"sec","day")),POS_Time,"&lt;="&amp;($D74-CONVERT(Variables!$C$12+1,"sec","day")),POS_Q,"&lt;="&amp;Variables!$C$11))</f>
        <v/>
      </c>
      <c r="I74" s="30" t="str">
        <f>IF($B74="","",AVERAGEIFS(POS_elev,POS_Time,"&gt;="&amp;($C74+CONVERT(Variables!$C$12,"sec","day")),POS_Time,"&lt;="&amp;($D74-CONVERT(Variables!$C$12+1,"sec","day")),POS_Q,"&lt;="&amp;Variables!$C$11)-S74)</f>
        <v/>
      </c>
      <c r="J74" s="26" t="str">
        <f>IF($B74="","",'Rover CSV Data'!D74)</f>
        <v/>
      </c>
      <c r="K74" s="26" t="str">
        <f>IF($B74="","",'Rover CSV Data'!C74)</f>
        <v/>
      </c>
      <c r="L74" s="26" t="str">
        <f>IF($B74="","",'Rover CSV Data'!E74)</f>
        <v/>
      </c>
      <c r="M74" s="30" t="str">
        <f>IF($B74="","",AVERAGEIFS(sdn,POS_Time,"&gt;="&amp;($C74+CONVERT(Variables!$C$12,"sec","day")),POS_Time,"&lt;="&amp;($D74-CONVERT(Variables!$C$12+1,"sec","day")),POS_Q,"&lt;="&amp;Variables!$C$11))</f>
        <v/>
      </c>
      <c r="N74" s="31" t="str">
        <f>IF($B74="","",AVERAGEIFS(sde,POS_Time,"&gt;="&amp;($C74+CONVERT(Variables!$C$12,"sec","day")),POS_Time,"&lt;="&amp;($D74-CONVERT(Variables!$C$12+1,"sec","day")),POS_Q,"&lt;="&amp;Variables!$C$11))</f>
        <v/>
      </c>
      <c r="O74" s="31" t="str">
        <f>IF($B74="","",AVERAGEIFS(sdu,POS_Time,"&gt;="&amp;($C74+CONVERT(Variables!$C$12,"sec","day")),POS_Time,"&lt;="&amp;($D74-CONVERT(Variables!$C$12+1,"sec","day")),POS_Q,"&lt;="&amp;Variables!$C$11))</f>
        <v/>
      </c>
      <c r="P74" s="32" t="str">
        <f t="array" ref="P74">IF($B74="","",STDEV(IF(POS_Time&gt;=($C74+CONVERT(Variables!$C$12,"sec","day")),IF(POS_Time&lt;=($D74-CONVERT(Variables!$C$12+1,"sec","day")),IF(POS_Q&lt;=Variables!$C$11,POS_Lat)))))</f>
        <v/>
      </c>
      <c r="Q74" s="32" t="str">
        <f t="array" ref="Q74">IF($B74="","",STDEV(IF(POS_Time&gt;=($C74+CONVERT(Variables!$C$12,"sec","day")),IF(POS_Time&lt;=($D74-CONVERT(Variables!$C$12+1,"sec","day")),IF(POS_Q&lt;=Variables!$C$11,POS_Long)))))</f>
        <v/>
      </c>
      <c r="R74" s="32" t="str">
        <f t="array" ref="R74">IF($B74="","",STDEV(IF(POS_Time&gt;=($C74+CONVERT(Variables!$C$12,"sec","day")),IF(POS_Time&lt;=($D74-CONVERT(Variables!$C$12+1,"sec","day")),IF(POS_Q&lt;=Variables!$C$11,POS_elev)))))</f>
        <v/>
      </c>
      <c r="S74" s="30" t="str">
        <f>IF($B74="","",'Rover CSV Data'!K74)</f>
        <v/>
      </c>
      <c r="T74" s="26" t="str">
        <f>IF($B74="","",COUNTIFS(POS_Time,"&gt;="&amp;($C74+CONVERT(Variables!$C$12,"sec","day")),POS_Time,"&lt;="&amp;($D74-CONVERT(Variables!$C$12+1,"sec","day")),POS_Q,"&lt;="&amp;Variables!$C$11))</f>
        <v/>
      </c>
      <c r="U74" s="26" t="str">
        <f>IF($B74="","",IF(1&gt;Variables!$C$11,0,COUNTIFS(POS_Time,"&gt;="&amp;($C74+CONVERT(Variables!$C$12,"sec","day")),POS_Time,"&lt;="&amp;($D74-CONVERT(Variables!$C$12+1,"sec","day")),POS_Q,"=1")))</f>
        <v/>
      </c>
      <c r="V74" s="26" t="str">
        <f>IF($B74="","",IF(2&gt;Variables!$C$11,0,COUNTIFS(POS_Time,"&gt;="&amp;($C74+CONVERT(Variables!$C$12,"sec","day")),POS_Time,"&lt;="&amp;($D74-CONVERT(Variables!$C$12+1,"sec","day")),POS_Q,"=2")))</f>
        <v/>
      </c>
      <c r="W74" s="26" t="str">
        <f>IF($B74="","",IF(3&gt;Variables!$C$11,0,COUNTIFS(POS_Time,"&gt;="&amp;($C74+CONVERT(Variables!$C$12,"sec","day")),POS_Time,"&lt;="&amp;($D74-CONVERT(Variables!$C$12+1,"sec","day")),POS_Q,"=3")))</f>
        <v/>
      </c>
      <c r="X74" s="26" t="str">
        <f>IF($B74="","",IF(4&gt;Variables!$C$11,0,COUNTIFS(POS_Time,"&gt;="&amp;($C74+CONVERT(Variables!$C$12,"sec","day")),POS_Time,"&lt;="&amp;($D74-CONVERT(Variables!$C$12+1,"sec","day")),POS_Q,"=4")))</f>
        <v/>
      </c>
      <c r="Y74" s="26" t="str">
        <f>IF($B74="","",IF(5&gt;Variables!$C$11,0,COUNTIFS(POS_Time,"&gt;="&amp;($C74+CONVERT(Variables!$C$12,"sec","day")),POS_Time,"&lt;="&amp;($D74-CONVERT(Variables!$C$12+1,"sec","day")),POS_Q,"=5")))</f>
        <v/>
      </c>
      <c r="Z74" s="26" t="str">
        <f>IF($B74="","",IF(6&gt;Variables!$C$11,0,COUNTIFS(POS_Time,"&gt;="&amp;($C74+CONVERT(Variables!$C$12,"sec","day")),POS_Time,"&lt;="&amp;($D74-CONVERT(Variables!$C$12+1,"sec","day")),POS_Q,"=6")))</f>
        <v/>
      </c>
    </row>
    <row r="75" spans="1:26" x14ac:dyDescent="0.25">
      <c r="A75" s="2">
        <v>74</v>
      </c>
      <c r="B75" s="27" t="str">
        <f>IF((ROW()-1)&lt;=RoverStations,'Rover CSV Data'!B75,"")</f>
        <v/>
      </c>
      <c r="C75" s="28" t="str">
        <f>IF($B75="","",DATEVALUE(LEFT('Rover CSV Data'!F75,FIND(" ",'Rover CSV Data'!F75)-1))+TIMEVALUE(MID('Rover CSV Data'!F75,LEN('Rover CSV Data'!F75)-FIND(" ",'Rover CSV Data'!F75),(FIND(" UTC",'Rover CSV Data'!F75))-(LEN('Rover CSV Data'!F75)-FIND(" ",'Rover CSV Data'!F75)))))</f>
        <v/>
      </c>
      <c r="D75" s="28" t="str">
        <f>IF($B75="","",DATEVALUE(LEFT('Rover CSV Data'!G75,FIND(" ",'Rover CSV Data'!G75)-1))+TIMEVALUE(MID('Rover CSV Data'!G75,LEN('Rover CSV Data'!G75)-FIND(" ",'Rover CSV Data'!G75),(FIND(" UTC",'Rover CSV Data'!G75))-(LEN('Rover CSV Data'!G75)-FIND(" ",'Rover CSV Data'!G75)))))</f>
        <v/>
      </c>
      <c r="E75" s="29" t="str">
        <f t="shared" si="2"/>
        <v/>
      </c>
      <c r="F75" s="26" t="str">
        <f>IF($B75="","",'Rover CSV Data'!J75)</f>
        <v/>
      </c>
      <c r="G75" s="26" t="str">
        <f>IF($B75="","",AVERAGEIFS(POS_Lat,POS_Time,"&gt;="&amp;($C75+CONVERT(Variables!$C$12,"sec","day")),POS_Time,"&lt;="&amp;($D75-CONVERT(Variables!$C$12+1,"sec","day")),POS_Q,"&lt;="&amp;Variables!$C$11))</f>
        <v/>
      </c>
      <c r="H75" s="26" t="str">
        <f>IF($B75="","",AVERAGEIFS(POS_Long,POS_Time,"&gt;="&amp;($C75+CONVERT(Variables!$C$12,"sec","day")),POS_Time,"&lt;="&amp;($D75-CONVERT(Variables!$C$12+1,"sec","day")),POS_Q,"&lt;="&amp;Variables!$C$11))</f>
        <v/>
      </c>
      <c r="I75" s="30" t="str">
        <f>IF($B75="","",AVERAGEIFS(POS_elev,POS_Time,"&gt;="&amp;($C75+CONVERT(Variables!$C$12,"sec","day")),POS_Time,"&lt;="&amp;($D75-CONVERT(Variables!$C$12+1,"sec","day")),POS_Q,"&lt;="&amp;Variables!$C$11)-S75)</f>
        <v/>
      </c>
      <c r="J75" s="26" t="str">
        <f>IF($B75="","",'Rover CSV Data'!D75)</f>
        <v/>
      </c>
      <c r="K75" s="26" t="str">
        <f>IF($B75="","",'Rover CSV Data'!C75)</f>
        <v/>
      </c>
      <c r="L75" s="26" t="str">
        <f>IF($B75="","",'Rover CSV Data'!E75)</f>
        <v/>
      </c>
      <c r="M75" s="30" t="str">
        <f>IF($B75="","",AVERAGEIFS(sdn,POS_Time,"&gt;="&amp;($C75+CONVERT(Variables!$C$12,"sec","day")),POS_Time,"&lt;="&amp;($D75-CONVERT(Variables!$C$12+1,"sec","day")),POS_Q,"&lt;="&amp;Variables!$C$11))</f>
        <v/>
      </c>
      <c r="N75" s="31" t="str">
        <f>IF($B75="","",AVERAGEIFS(sde,POS_Time,"&gt;="&amp;($C75+CONVERT(Variables!$C$12,"sec","day")),POS_Time,"&lt;="&amp;($D75-CONVERT(Variables!$C$12+1,"sec","day")),POS_Q,"&lt;="&amp;Variables!$C$11))</f>
        <v/>
      </c>
      <c r="O75" s="31" t="str">
        <f>IF($B75="","",AVERAGEIFS(sdu,POS_Time,"&gt;="&amp;($C75+CONVERT(Variables!$C$12,"sec","day")),POS_Time,"&lt;="&amp;($D75-CONVERT(Variables!$C$12+1,"sec","day")),POS_Q,"&lt;="&amp;Variables!$C$11))</f>
        <v/>
      </c>
      <c r="P75" s="32" t="str">
        <f t="array" ref="P75">IF($B75="","",STDEV(IF(POS_Time&gt;=($C75+CONVERT(Variables!$C$12,"sec","day")),IF(POS_Time&lt;=($D75-CONVERT(Variables!$C$12+1,"sec","day")),IF(POS_Q&lt;=Variables!$C$11,POS_Lat)))))</f>
        <v/>
      </c>
      <c r="Q75" s="32" t="str">
        <f t="array" ref="Q75">IF($B75="","",STDEV(IF(POS_Time&gt;=($C75+CONVERT(Variables!$C$12,"sec","day")),IF(POS_Time&lt;=($D75-CONVERT(Variables!$C$12+1,"sec","day")),IF(POS_Q&lt;=Variables!$C$11,POS_Long)))))</f>
        <v/>
      </c>
      <c r="R75" s="32" t="str">
        <f t="array" ref="R75">IF($B75="","",STDEV(IF(POS_Time&gt;=($C75+CONVERT(Variables!$C$12,"sec","day")),IF(POS_Time&lt;=($D75-CONVERT(Variables!$C$12+1,"sec","day")),IF(POS_Q&lt;=Variables!$C$11,POS_elev)))))</f>
        <v/>
      </c>
      <c r="S75" s="30" t="str">
        <f>IF($B75="","",'Rover CSV Data'!K75)</f>
        <v/>
      </c>
      <c r="T75" s="26" t="str">
        <f>IF($B75="","",COUNTIFS(POS_Time,"&gt;="&amp;($C75+CONVERT(Variables!$C$12,"sec","day")),POS_Time,"&lt;="&amp;($D75-CONVERT(Variables!$C$12+1,"sec","day")),POS_Q,"&lt;="&amp;Variables!$C$11))</f>
        <v/>
      </c>
      <c r="U75" s="26" t="str">
        <f>IF($B75="","",IF(1&gt;Variables!$C$11,0,COUNTIFS(POS_Time,"&gt;="&amp;($C75+CONVERT(Variables!$C$12,"sec","day")),POS_Time,"&lt;="&amp;($D75-CONVERT(Variables!$C$12+1,"sec","day")),POS_Q,"=1")))</f>
        <v/>
      </c>
      <c r="V75" s="26" t="str">
        <f>IF($B75="","",IF(2&gt;Variables!$C$11,0,COUNTIFS(POS_Time,"&gt;="&amp;($C75+CONVERT(Variables!$C$12,"sec","day")),POS_Time,"&lt;="&amp;($D75-CONVERT(Variables!$C$12+1,"sec","day")),POS_Q,"=2")))</f>
        <v/>
      </c>
      <c r="W75" s="26" t="str">
        <f>IF($B75="","",IF(3&gt;Variables!$C$11,0,COUNTIFS(POS_Time,"&gt;="&amp;($C75+CONVERT(Variables!$C$12,"sec","day")),POS_Time,"&lt;="&amp;($D75-CONVERT(Variables!$C$12+1,"sec","day")),POS_Q,"=3")))</f>
        <v/>
      </c>
      <c r="X75" s="26" t="str">
        <f>IF($B75="","",IF(4&gt;Variables!$C$11,0,COUNTIFS(POS_Time,"&gt;="&amp;($C75+CONVERT(Variables!$C$12,"sec","day")),POS_Time,"&lt;="&amp;($D75-CONVERT(Variables!$C$12+1,"sec","day")),POS_Q,"=4")))</f>
        <v/>
      </c>
      <c r="Y75" s="26" t="str">
        <f>IF($B75="","",IF(5&gt;Variables!$C$11,0,COUNTIFS(POS_Time,"&gt;="&amp;($C75+CONVERT(Variables!$C$12,"sec","day")),POS_Time,"&lt;="&amp;($D75-CONVERT(Variables!$C$12+1,"sec","day")),POS_Q,"=5")))</f>
        <v/>
      </c>
      <c r="Z75" s="26" t="str">
        <f>IF($B75="","",IF(6&gt;Variables!$C$11,0,COUNTIFS(POS_Time,"&gt;="&amp;($C75+CONVERT(Variables!$C$12,"sec","day")),POS_Time,"&lt;="&amp;($D75-CONVERT(Variables!$C$12+1,"sec","day")),POS_Q,"=6")))</f>
        <v/>
      </c>
    </row>
    <row r="76" spans="1:26" x14ac:dyDescent="0.25">
      <c r="A76" s="2">
        <v>75</v>
      </c>
      <c r="B76" s="27" t="str">
        <f>IF((ROW()-1)&lt;=RoverStations,'Rover CSV Data'!B76,"")</f>
        <v/>
      </c>
      <c r="C76" s="28" t="str">
        <f>IF($B76="","",DATEVALUE(LEFT('Rover CSV Data'!F76,FIND(" ",'Rover CSV Data'!F76)-1))+TIMEVALUE(MID('Rover CSV Data'!F76,LEN('Rover CSV Data'!F76)-FIND(" ",'Rover CSV Data'!F76),(FIND(" UTC",'Rover CSV Data'!F76))-(LEN('Rover CSV Data'!F76)-FIND(" ",'Rover CSV Data'!F76)))))</f>
        <v/>
      </c>
      <c r="D76" s="28" t="str">
        <f>IF($B76="","",DATEVALUE(LEFT('Rover CSV Data'!G76,FIND(" ",'Rover CSV Data'!G76)-1))+TIMEVALUE(MID('Rover CSV Data'!G76,LEN('Rover CSV Data'!G76)-FIND(" ",'Rover CSV Data'!G76),(FIND(" UTC",'Rover CSV Data'!G76))-(LEN('Rover CSV Data'!G76)-FIND(" ",'Rover CSV Data'!G76)))))</f>
        <v/>
      </c>
      <c r="E76" s="29" t="str">
        <f t="shared" si="2"/>
        <v/>
      </c>
      <c r="F76" s="26" t="str">
        <f>IF($B76="","",'Rover CSV Data'!J76)</f>
        <v/>
      </c>
      <c r="G76" s="26" t="str">
        <f>IF($B76="","",AVERAGEIFS(POS_Lat,POS_Time,"&gt;="&amp;($C76+CONVERT(Variables!$C$12,"sec","day")),POS_Time,"&lt;="&amp;($D76-CONVERT(Variables!$C$12+1,"sec","day")),POS_Q,"&lt;="&amp;Variables!$C$11))</f>
        <v/>
      </c>
      <c r="H76" s="26" t="str">
        <f>IF($B76="","",AVERAGEIFS(POS_Long,POS_Time,"&gt;="&amp;($C76+CONVERT(Variables!$C$12,"sec","day")),POS_Time,"&lt;="&amp;($D76-CONVERT(Variables!$C$12+1,"sec","day")),POS_Q,"&lt;="&amp;Variables!$C$11))</f>
        <v/>
      </c>
      <c r="I76" s="30" t="str">
        <f>IF($B76="","",AVERAGEIFS(POS_elev,POS_Time,"&gt;="&amp;($C76+CONVERT(Variables!$C$12,"sec","day")),POS_Time,"&lt;="&amp;($D76-CONVERT(Variables!$C$12+1,"sec","day")),POS_Q,"&lt;="&amp;Variables!$C$11)-S76)</f>
        <v/>
      </c>
      <c r="J76" s="26" t="str">
        <f>IF($B76="","",'Rover CSV Data'!D76)</f>
        <v/>
      </c>
      <c r="K76" s="26" t="str">
        <f>IF($B76="","",'Rover CSV Data'!C76)</f>
        <v/>
      </c>
      <c r="L76" s="26" t="str">
        <f>IF($B76="","",'Rover CSV Data'!E76)</f>
        <v/>
      </c>
      <c r="M76" s="30" t="str">
        <f>IF($B76="","",AVERAGEIFS(sdn,POS_Time,"&gt;="&amp;($C76+CONVERT(Variables!$C$12,"sec","day")),POS_Time,"&lt;="&amp;($D76-CONVERT(Variables!$C$12+1,"sec","day")),POS_Q,"&lt;="&amp;Variables!$C$11))</f>
        <v/>
      </c>
      <c r="N76" s="31" t="str">
        <f>IF($B76="","",AVERAGEIFS(sde,POS_Time,"&gt;="&amp;($C76+CONVERT(Variables!$C$12,"sec","day")),POS_Time,"&lt;="&amp;($D76-CONVERT(Variables!$C$12+1,"sec","day")),POS_Q,"&lt;="&amp;Variables!$C$11))</f>
        <v/>
      </c>
      <c r="O76" s="31" t="str">
        <f>IF($B76="","",AVERAGEIFS(sdu,POS_Time,"&gt;="&amp;($C76+CONVERT(Variables!$C$12,"sec","day")),POS_Time,"&lt;="&amp;($D76-CONVERT(Variables!$C$12+1,"sec","day")),POS_Q,"&lt;="&amp;Variables!$C$11))</f>
        <v/>
      </c>
      <c r="P76" s="32" t="str">
        <f t="array" ref="P76">IF($B76="","",STDEV(IF(POS_Time&gt;=($C76+CONVERT(Variables!$C$12,"sec","day")),IF(POS_Time&lt;=($D76-CONVERT(Variables!$C$12+1,"sec","day")),IF(POS_Q&lt;=Variables!$C$11,POS_Lat)))))</f>
        <v/>
      </c>
      <c r="Q76" s="32" t="str">
        <f t="array" ref="Q76">IF($B76="","",STDEV(IF(POS_Time&gt;=($C76+CONVERT(Variables!$C$12,"sec","day")),IF(POS_Time&lt;=($D76-CONVERT(Variables!$C$12+1,"sec","day")),IF(POS_Q&lt;=Variables!$C$11,POS_Long)))))</f>
        <v/>
      </c>
      <c r="R76" s="32" t="str">
        <f t="array" ref="R76">IF($B76="","",STDEV(IF(POS_Time&gt;=($C76+CONVERT(Variables!$C$12,"sec","day")),IF(POS_Time&lt;=($D76-CONVERT(Variables!$C$12+1,"sec","day")),IF(POS_Q&lt;=Variables!$C$11,POS_elev)))))</f>
        <v/>
      </c>
      <c r="S76" s="30" t="str">
        <f>IF($B76="","",'Rover CSV Data'!K76)</f>
        <v/>
      </c>
      <c r="T76" s="26" t="str">
        <f>IF($B76="","",COUNTIFS(POS_Time,"&gt;="&amp;($C76+CONVERT(Variables!$C$12,"sec","day")),POS_Time,"&lt;="&amp;($D76-CONVERT(Variables!$C$12+1,"sec","day")),POS_Q,"&lt;="&amp;Variables!$C$11))</f>
        <v/>
      </c>
      <c r="U76" s="26" t="str">
        <f>IF($B76="","",IF(1&gt;Variables!$C$11,0,COUNTIFS(POS_Time,"&gt;="&amp;($C76+CONVERT(Variables!$C$12,"sec","day")),POS_Time,"&lt;="&amp;($D76-CONVERT(Variables!$C$12+1,"sec","day")),POS_Q,"=1")))</f>
        <v/>
      </c>
      <c r="V76" s="26" t="str">
        <f>IF($B76="","",IF(2&gt;Variables!$C$11,0,COUNTIFS(POS_Time,"&gt;="&amp;($C76+CONVERT(Variables!$C$12,"sec","day")),POS_Time,"&lt;="&amp;($D76-CONVERT(Variables!$C$12+1,"sec","day")),POS_Q,"=2")))</f>
        <v/>
      </c>
      <c r="W76" s="26" t="str">
        <f>IF($B76="","",IF(3&gt;Variables!$C$11,0,COUNTIFS(POS_Time,"&gt;="&amp;($C76+CONVERT(Variables!$C$12,"sec","day")),POS_Time,"&lt;="&amp;($D76-CONVERT(Variables!$C$12+1,"sec","day")),POS_Q,"=3")))</f>
        <v/>
      </c>
      <c r="X76" s="26" t="str">
        <f>IF($B76="","",IF(4&gt;Variables!$C$11,0,COUNTIFS(POS_Time,"&gt;="&amp;($C76+CONVERT(Variables!$C$12,"sec","day")),POS_Time,"&lt;="&amp;($D76-CONVERT(Variables!$C$12+1,"sec","day")),POS_Q,"=4")))</f>
        <v/>
      </c>
      <c r="Y76" s="26" t="str">
        <f>IF($B76="","",IF(5&gt;Variables!$C$11,0,COUNTIFS(POS_Time,"&gt;="&amp;($C76+CONVERT(Variables!$C$12,"sec","day")),POS_Time,"&lt;="&amp;($D76-CONVERT(Variables!$C$12+1,"sec","day")),POS_Q,"=5")))</f>
        <v/>
      </c>
      <c r="Z76" s="26" t="str">
        <f>IF($B76="","",IF(6&gt;Variables!$C$11,0,COUNTIFS(POS_Time,"&gt;="&amp;($C76+CONVERT(Variables!$C$12,"sec","day")),POS_Time,"&lt;="&amp;($D76-CONVERT(Variables!$C$12+1,"sec","day")),POS_Q,"=6")))</f>
        <v/>
      </c>
    </row>
    <row r="77" spans="1:26" x14ac:dyDescent="0.25">
      <c r="A77" s="2">
        <v>76</v>
      </c>
      <c r="B77" s="27" t="str">
        <f>IF((ROW()-1)&lt;=RoverStations,'Rover CSV Data'!B77,"")</f>
        <v/>
      </c>
      <c r="C77" s="28" t="str">
        <f>IF($B77="","",DATEVALUE(LEFT('Rover CSV Data'!F77,FIND(" ",'Rover CSV Data'!F77)-1))+TIMEVALUE(MID('Rover CSV Data'!F77,LEN('Rover CSV Data'!F77)-FIND(" ",'Rover CSV Data'!F77),(FIND(" UTC",'Rover CSV Data'!F77))-(LEN('Rover CSV Data'!F77)-FIND(" ",'Rover CSV Data'!F77)))))</f>
        <v/>
      </c>
      <c r="D77" s="28" t="str">
        <f>IF($B77="","",DATEVALUE(LEFT('Rover CSV Data'!G77,FIND(" ",'Rover CSV Data'!G77)-1))+TIMEVALUE(MID('Rover CSV Data'!G77,LEN('Rover CSV Data'!G77)-FIND(" ",'Rover CSV Data'!G77),(FIND(" UTC",'Rover CSV Data'!G77))-(LEN('Rover CSV Data'!G77)-FIND(" ",'Rover CSV Data'!G77)))))</f>
        <v/>
      </c>
      <c r="E77" s="29" t="str">
        <f t="shared" si="2"/>
        <v/>
      </c>
      <c r="F77" s="26" t="str">
        <f>IF($B77="","",'Rover CSV Data'!J77)</f>
        <v/>
      </c>
      <c r="G77" s="26" t="str">
        <f>IF($B77="","",AVERAGEIFS(POS_Lat,POS_Time,"&gt;="&amp;($C77+CONVERT(Variables!$C$12,"sec","day")),POS_Time,"&lt;="&amp;($D77-CONVERT(Variables!$C$12+1,"sec","day")),POS_Q,"&lt;="&amp;Variables!$C$11))</f>
        <v/>
      </c>
      <c r="H77" s="26" t="str">
        <f>IF($B77="","",AVERAGEIFS(POS_Long,POS_Time,"&gt;="&amp;($C77+CONVERT(Variables!$C$12,"sec","day")),POS_Time,"&lt;="&amp;($D77-CONVERT(Variables!$C$12+1,"sec","day")),POS_Q,"&lt;="&amp;Variables!$C$11))</f>
        <v/>
      </c>
      <c r="I77" s="30" t="str">
        <f>IF($B77="","",AVERAGEIFS(POS_elev,POS_Time,"&gt;="&amp;($C77+CONVERT(Variables!$C$12,"sec","day")),POS_Time,"&lt;="&amp;($D77-CONVERT(Variables!$C$12+1,"sec","day")),POS_Q,"&lt;="&amp;Variables!$C$11)-S77)</f>
        <v/>
      </c>
      <c r="J77" s="26" t="str">
        <f>IF($B77="","",'Rover CSV Data'!D77)</f>
        <v/>
      </c>
      <c r="K77" s="26" t="str">
        <f>IF($B77="","",'Rover CSV Data'!C77)</f>
        <v/>
      </c>
      <c r="L77" s="26" t="str">
        <f>IF($B77="","",'Rover CSV Data'!E77)</f>
        <v/>
      </c>
      <c r="M77" s="30" t="str">
        <f>IF($B77="","",AVERAGEIFS(sdn,POS_Time,"&gt;="&amp;($C77+CONVERT(Variables!$C$12,"sec","day")),POS_Time,"&lt;="&amp;($D77-CONVERT(Variables!$C$12+1,"sec","day")),POS_Q,"&lt;="&amp;Variables!$C$11))</f>
        <v/>
      </c>
      <c r="N77" s="31" t="str">
        <f>IF($B77="","",AVERAGEIFS(sde,POS_Time,"&gt;="&amp;($C77+CONVERT(Variables!$C$12,"sec","day")),POS_Time,"&lt;="&amp;($D77-CONVERT(Variables!$C$12+1,"sec","day")),POS_Q,"&lt;="&amp;Variables!$C$11))</f>
        <v/>
      </c>
      <c r="O77" s="31" t="str">
        <f>IF($B77="","",AVERAGEIFS(sdu,POS_Time,"&gt;="&amp;($C77+CONVERT(Variables!$C$12,"sec","day")),POS_Time,"&lt;="&amp;($D77-CONVERT(Variables!$C$12+1,"sec","day")),POS_Q,"&lt;="&amp;Variables!$C$11))</f>
        <v/>
      </c>
      <c r="P77" s="32" t="str">
        <f t="array" ref="P77">IF($B77="","",STDEV(IF(POS_Time&gt;=($C77+CONVERT(Variables!$C$12,"sec","day")),IF(POS_Time&lt;=($D77-CONVERT(Variables!$C$12+1,"sec","day")),IF(POS_Q&lt;=Variables!$C$11,POS_Lat)))))</f>
        <v/>
      </c>
      <c r="Q77" s="32" t="str">
        <f t="array" ref="Q77">IF($B77="","",STDEV(IF(POS_Time&gt;=($C77+CONVERT(Variables!$C$12,"sec","day")),IF(POS_Time&lt;=($D77-CONVERT(Variables!$C$12+1,"sec","day")),IF(POS_Q&lt;=Variables!$C$11,POS_Long)))))</f>
        <v/>
      </c>
      <c r="R77" s="32" t="str">
        <f t="array" ref="R77">IF($B77="","",STDEV(IF(POS_Time&gt;=($C77+CONVERT(Variables!$C$12,"sec","day")),IF(POS_Time&lt;=($D77-CONVERT(Variables!$C$12+1,"sec","day")),IF(POS_Q&lt;=Variables!$C$11,POS_elev)))))</f>
        <v/>
      </c>
      <c r="S77" s="30" t="str">
        <f>IF($B77="","",'Rover CSV Data'!K77)</f>
        <v/>
      </c>
      <c r="T77" s="26" t="str">
        <f>IF($B77="","",COUNTIFS(POS_Time,"&gt;="&amp;($C77+CONVERT(Variables!$C$12,"sec","day")),POS_Time,"&lt;="&amp;($D77-CONVERT(Variables!$C$12+1,"sec","day")),POS_Q,"&lt;="&amp;Variables!$C$11))</f>
        <v/>
      </c>
      <c r="U77" s="26" t="str">
        <f>IF($B77="","",IF(1&gt;Variables!$C$11,0,COUNTIFS(POS_Time,"&gt;="&amp;($C77+CONVERT(Variables!$C$12,"sec","day")),POS_Time,"&lt;="&amp;($D77-CONVERT(Variables!$C$12+1,"sec","day")),POS_Q,"=1")))</f>
        <v/>
      </c>
      <c r="V77" s="26" t="str">
        <f>IF($B77="","",IF(2&gt;Variables!$C$11,0,COUNTIFS(POS_Time,"&gt;="&amp;($C77+CONVERT(Variables!$C$12,"sec","day")),POS_Time,"&lt;="&amp;($D77-CONVERT(Variables!$C$12+1,"sec","day")),POS_Q,"=2")))</f>
        <v/>
      </c>
      <c r="W77" s="26" t="str">
        <f>IF($B77="","",IF(3&gt;Variables!$C$11,0,COUNTIFS(POS_Time,"&gt;="&amp;($C77+CONVERT(Variables!$C$12,"sec","day")),POS_Time,"&lt;="&amp;($D77-CONVERT(Variables!$C$12+1,"sec","day")),POS_Q,"=3")))</f>
        <v/>
      </c>
      <c r="X77" s="26" t="str">
        <f>IF($B77="","",IF(4&gt;Variables!$C$11,0,COUNTIFS(POS_Time,"&gt;="&amp;($C77+CONVERT(Variables!$C$12,"sec","day")),POS_Time,"&lt;="&amp;($D77-CONVERT(Variables!$C$12+1,"sec","day")),POS_Q,"=4")))</f>
        <v/>
      </c>
      <c r="Y77" s="26" t="str">
        <f>IF($B77="","",IF(5&gt;Variables!$C$11,0,COUNTIFS(POS_Time,"&gt;="&amp;($C77+CONVERT(Variables!$C$12,"sec","day")),POS_Time,"&lt;="&amp;($D77-CONVERT(Variables!$C$12+1,"sec","day")),POS_Q,"=5")))</f>
        <v/>
      </c>
      <c r="Z77" s="26" t="str">
        <f>IF($B77="","",IF(6&gt;Variables!$C$11,0,COUNTIFS(POS_Time,"&gt;="&amp;($C77+CONVERT(Variables!$C$12,"sec","day")),POS_Time,"&lt;="&amp;($D77-CONVERT(Variables!$C$12+1,"sec","day")),POS_Q,"=6")))</f>
        <v/>
      </c>
    </row>
    <row r="78" spans="1:26" x14ac:dyDescent="0.25">
      <c r="A78" s="2">
        <v>77</v>
      </c>
      <c r="B78" s="27" t="str">
        <f>IF((ROW()-1)&lt;=RoverStations,'Rover CSV Data'!B78,"")</f>
        <v/>
      </c>
      <c r="C78" s="28" t="str">
        <f>IF($B78="","",DATEVALUE(LEFT('Rover CSV Data'!F78,FIND(" ",'Rover CSV Data'!F78)-1))+TIMEVALUE(MID('Rover CSV Data'!F78,LEN('Rover CSV Data'!F78)-FIND(" ",'Rover CSV Data'!F78),(FIND(" UTC",'Rover CSV Data'!F78))-(LEN('Rover CSV Data'!F78)-FIND(" ",'Rover CSV Data'!F78)))))</f>
        <v/>
      </c>
      <c r="D78" s="28" t="str">
        <f>IF($B78="","",DATEVALUE(LEFT('Rover CSV Data'!G78,FIND(" ",'Rover CSV Data'!G78)-1))+TIMEVALUE(MID('Rover CSV Data'!G78,LEN('Rover CSV Data'!G78)-FIND(" ",'Rover CSV Data'!G78),(FIND(" UTC",'Rover CSV Data'!G78))-(LEN('Rover CSV Data'!G78)-FIND(" ",'Rover CSV Data'!G78)))))</f>
        <v/>
      </c>
      <c r="E78" s="29" t="str">
        <f t="shared" si="2"/>
        <v/>
      </c>
      <c r="F78" s="26" t="str">
        <f>IF($B78="","",'Rover CSV Data'!J78)</f>
        <v/>
      </c>
      <c r="G78" s="26" t="str">
        <f>IF($B78="","",AVERAGEIFS(POS_Lat,POS_Time,"&gt;="&amp;($C78+CONVERT(Variables!$C$12,"sec","day")),POS_Time,"&lt;="&amp;($D78-CONVERT(Variables!$C$12+1,"sec","day")),POS_Q,"&lt;="&amp;Variables!$C$11))</f>
        <v/>
      </c>
      <c r="H78" s="26" t="str">
        <f>IF($B78="","",AVERAGEIFS(POS_Long,POS_Time,"&gt;="&amp;($C78+CONVERT(Variables!$C$12,"sec","day")),POS_Time,"&lt;="&amp;($D78-CONVERT(Variables!$C$12+1,"sec","day")),POS_Q,"&lt;="&amp;Variables!$C$11))</f>
        <v/>
      </c>
      <c r="I78" s="30" t="str">
        <f>IF($B78="","",AVERAGEIFS(POS_elev,POS_Time,"&gt;="&amp;($C78+CONVERT(Variables!$C$12,"sec","day")),POS_Time,"&lt;="&amp;($D78-CONVERT(Variables!$C$12+1,"sec","day")),POS_Q,"&lt;="&amp;Variables!$C$11)-S78)</f>
        <v/>
      </c>
      <c r="J78" s="26" t="str">
        <f>IF($B78="","",'Rover CSV Data'!D78)</f>
        <v/>
      </c>
      <c r="K78" s="26" t="str">
        <f>IF($B78="","",'Rover CSV Data'!C78)</f>
        <v/>
      </c>
      <c r="L78" s="26" t="str">
        <f>IF($B78="","",'Rover CSV Data'!E78)</f>
        <v/>
      </c>
      <c r="M78" s="30" t="str">
        <f>IF($B78="","",AVERAGEIFS(sdn,POS_Time,"&gt;="&amp;($C78+CONVERT(Variables!$C$12,"sec","day")),POS_Time,"&lt;="&amp;($D78-CONVERT(Variables!$C$12+1,"sec","day")),POS_Q,"&lt;="&amp;Variables!$C$11))</f>
        <v/>
      </c>
      <c r="N78" s="31" t="str">
        <f>IF($B78="","",AVERAGEIFS(sde,POS_Time,"&gt;="&amp;($C78+CONVERT(Variables!$C$12,"sec","day")),POS_Time,"&lt;="&amp;($D78-CONVERT(Variables!$C$12+1,"sec","day")),POS_Q,"&lt;="&amp;Variables!$C$11))</f>
        <v/>
      </c>
      <c r="O78" s="31" t="str">
        <f>IF($B78="","",AVERAGEIFS(sdu,POS_Time,"&gt;="&amp;($C78+CONVERT(Variables!$C$12,"sec","day")),POS_Time,"&lt;="&amp;($D78-CONVERT(Variables!$C$12+1,"sec","day")),POS_Q,"&lt;="&amp;Variables!$C$11))</f>
        <v/>
      </c>
      <c r="P78" s="32" t="str">
        <f t="array" ref="P78">IF($B78="","",STDEV(IF(POS_Time&gt;=($C78+CONVERT(Variables!$C$12,"sec","day")),IF(POS_Time&lt;=($D78-CONVERT(Variables!$C$12+1,"sec","day")),IF(POS_Q&lt;=Variables!$C$11,POS_Lat)))))</f>
        <v/>
      </c>
      <c r="Q78" s="32" t="str">
        <f t="array" ref="Q78">IF($B78="","",STDEV(IF(POS_Time&gt;=($C78+CONVERT(Variables!$C$12,"sec","day")),IF(POS_Time&lt;=($D78-CONVERT(Variables!$C$12+1,"sec","day")),IF(POS_Q&lt;=Variables!$C$11,POS_Long)))))</f>
        <v/>
      </c>
      <c r="R78" s="32" t="str">
        <f t="array" ref="R78">IF($B78="","",STDEV(IF(POS_Time&gt;=($C78+CONVERT(Variables!$C$12,"sec","day")),IF(POS_Time&lt;=($D78-CONVERT(Variables!$C$12+1,"sec","day")),IF(POS_Q&lt;=Variables!$C$11,POS_elev)))))</f>
        <v/>
      </c>
      <c r="S78" s="30" t="str">
        <f>IF($B78="","",'Rover CSV Data'!K78)</f>
        <v/>
      </c>
      <c r="T78" s="26" t="str">
        <f>IF($B78="","",COUNTIFS(POS_Time,"&gt;="&amp;($C78+CONVERT(Variables!$C$12,"sec","day")),POS_Time,"&lt;="&amp;($D78-CONVERT(Variables!$C$12+1,"sec","day")),POS_Q,"&lt;="&amp;Variables!$C$11))</f>
        <v/>
      </c>
      <c r="U78" s="26" t="str">
        <f>IF($B78="","",IF(1&gt;Variables!$C$11,0,COUNTIFS(POS_Time,"&gt;="&amp;($C78+CONVERT(Variables!$C$12,"sec","day")),POS_Time,"&lt;="&amp;($D78-CONVERT(Variables!$C$12+1,"sec","day")),POS_Q,"=1")))</f>
        <v/>
      </c>
      <c r="V78" s="26" t="str">
        <f>IF($B78="","",IF(2&gt;Variables!$C$11,0,COUNTIFS(POS_Time,"&gt;="&amp;($C78+CONVERT(Variables!$C$12,"sec","day")),POS_Time,"&lt;="&amp;($D78-CONVERT(Variables!$C$12+1,"sec","day")),POS_Q,"=2")))</f>
        <v/>
      </c>
      <c r="W78" s="26" t="str">
        <f>IF($B78="","",IF(3&gt;Variables!$C$11,0,COUNTIFS(POS_Time,"&gt;="&amp;($C78+CONVERT(Variables!$C$12,"sec","day")),POS_Time,"&lt;="&amp;($D78-CONVERT(Variables!$C$12+1,"sec","day")),POS_Q,"=3")))</f>
        <v/>
      </c>
      <c r="X78" s="26" t="str">
        <f>IF($B78="","",IF(4&gt;Variables!$C$11,0,COUNTIFS(POS_Time,"&gt;="&amp;($C78+CONVERT(Variables!$C$12,"sec","day")),POS_Time,"&lt;="&amp;($D78-CONVERT(Variables!$C$12+1,"sec","day")),POS_Q,"=4")))</f>
        <v/>
      </c>
      <c r="Y78" s="26" t="str">
        <f>IF($B78="","",IF(5&gt;Variables!$C$11,0,COUNTIFS(POS_Time,"&gt;="&amp;($C78+CONVERT(Variables!$C$12,"sec","day")),POS_Time,"&lt;="&amp;($D78-CONVERT(Variables!$C$12+1,"sec","day")),POS_Q,"=5")))</f>
        <v/>
      </c>
      <c r="Z78" s="26" t="str">
        <f>IF($B78="","",IF(6&gt;Variables!$C$11,0,COUNTIFS(POS_Time,"&gt;="&amp;($C78+CONVERT(Variables!$C$12,"sec","day")),POS_Time,"&lt;="&amp;($D78-CONVERT(Variables!$C$12+1,"sec","day")),POS_Q,"=6")))</f>
        <v/>
      </c>
    </row>
    <row r="79" spans="1:26" x14ac:dyDescent="0.25">
      <c r="A79" s="2">
        <v>78</v>
      </c>
      <c r="B79" s="27" t="str">
        <f>IF((ROW()-1)&lt;=RoverStations,'Rover CSV Data'!B79,"")</f>
        <v/>
      </c>
      <c r="C79" s="28" t="str">
        <f>IF($B79="","",DATEVALUE(LEFT('Rover CSV Data'!F79,FIND(" ",'Rover CSV Data'!F79)-1))+TIMEVALUE(MID('Rover CSV Data'!F79,LEN('Rover CSV Data'!F79)-FIND(" ",'Rover CSV Data'!F79),(FIND(" UTC",'Rover CSV Data'!F79))-(LEN('Rover CSV Data'!F79)-FIND(" ",'Rover CSV Data'!F79)))))</f>
        <v/>
      </c>
      <c r="D79" s="28" t="str">
        <f>IF($B79="","",DATEVALUE(LEFT('Rover CSV Data'!G79,FIND(" ",'Rover CSV Data'!G79)-1))+TIMEVALUE(MID('Rover CSV Data'!G79,LEN('Rover CSV Data'!G79)-FIND(" ",'Rover CSV Data'!G79),(FIND(" UTC",'Rover CSV Data'!G79))-(LEN('Rover CSV Data'!G79)-FIND(" ",'Rover CSV Data'!G79)))))</f>
        <v/>
      </c>
      <c r="E79" s="29" t="str">
        <f t="shared" si="2"/>
        <v/>
      </c>
      <c r="F79" s="26" t="str">
        <f>IF($B79="","",'Rover CSV Data'!J79)</f>
        <v/>
      </c>
      <c r="G79" s="26" t="str">
        <f>IF($B79="","",AVERAGEIFS(POS_Lat,POS_Time,"&gt;="&amp;($C79+CONVERT(Variables!$C$12,"sec","day")),POS_Time,"&lt;="&amp;($D79-CONVERT(Variables!$C$12+1,"sec","day")),POS_Q,"&lt;="&amp;Variables!$C$11))</f>
        <v/>
      </c>
      <c r="H79" s="26" t="str">
        <f>IF($B79="","",AVERAGEIFS(POS_Long,POS_Time,"&gt;="&amp;($C79+CONVERT(Variables!$C$12,"sec","day")),POS_Time,"&lt;="&amp;($D79-CONVERT(Variables!$C$12+1,"sec","day")),POS_Q,"&lt;="&amp;Variables!$C$11))</f>
        <v/>
      </c>
      <c r="I79" s="30" t="str">
        <f>IF($B79="","",AVERAGEIFS(POS_elev,POS_Time,"&gt;="&amp;($C79+CONVERT(Variables!$C$12,"sec","day")),POS_Time,"&lt;="&amp;($D79-CONVERT(Variables!$C$12+1,"sec","day")),POS_Q,"&lt;="&amp;Variables!$C$11)-S79)</f>
        <v/>
      </c>
      <c r="J79" s="26" t="str">
        <f>IF($B79="","",'Rover CSV Data'!D79)</f>
        <v/>
      </c>
      <c r="K79" s="26" t="str">
        <f>IF($B79="","",'Rover CSV Data'!C79)</f>
        <v/>
      </c>
      <c r="L79" s="26" t="str">
        <f>IF($B79="","",'Rover CSV Data'!E79)</f>
        <v/>
      </c>
      <c r="M79" s="30" t="str">
        <f>IF($B79="","",AVERAGEIFS(sdn,POS_Time,"&gt;="&amp;($C79+CONVERT(Variables!$C$12,"sec","day")),POS_Time,"&lt;="&amp;($D79-CONVERT(Variables!$C$12+1,"sec","day")),POS_Q,"&lt;="&amp;Variables!$C$11))</f>
        <v/>
      </c>
      <c r="N79" s="31" t="str">
        <f>IF($B79="","",AVERAGEIFS(sde,POS_Time,"&gt;="&amp;($C79+CONVERT(Variables!$C$12,"sec","day")),POS_Time,"&lt;="&amp;($D79-CONVERT(Variables!$C$12+1,"sec","day")),POS_Q,"&lt;="&amp;Variables!$C$11))</f>
        <v/>
      </c>
      <c r="O79" s="31" t="str">
        <f>IF($B79="","",AVERAGEIFS(sdu,POS_Time,"&gt;="&amp;($C79+CONVERT(Variables!$C$12,"sec","day")),POS_Time,"&lt;="&amp;($D79-CONVERT(Variables!$C$12+1,"sec","day")),POS_Q,"&lt;="&amp;Variables!$C$11))</f>
        <v/>
      </c>
      <c r="P79" s="32" t="str">
        <f t="array" ref="P79">IF($B79="","",STDEV(IF(POS_Time&gt;=($C79+CONVERT(Variables!$C$12,"sec","day")),IF(POS_Time&lt;=($D79-CONVERT(Variables!$C$12+1,"sec","day")),IF(POS_Q&lt;=Variables!$C$11,POS_Lat)))))</f>
        <v/>
      </c>
      <c r="Q79" s="32" t="str">
        <f t="array" ref="Q79">IF($B79="","",STDEV(IF(POS_Time&gt;=($C79+CONVERT(Variables!$C$12,"sec","day")),IF(POS_Time&lt;=($D79-CONVERT(Variables!$C$12+1,"sec","day")),IF(POS_Q&lt;=Variables!$C$11,POS_Long)))))</f>
        <v/>
      </c>
      <c r="R79" s="32" t="str">
        <f t="array" ref="R79">IF($B79="","",STDEV(IF(POS_Time&gt;=($C79+CONVERT(Variables!$C$12,"sec","day")),IF(POS_Time&lt;=($D79-CONVERT(Variables!$C$12+1,"sec","day")),IF(POS_Q&lt;=Variables!$C$11,POS_elev)))))</f>
        <v/>
      </c>
      <c r="S79" s="30" t="str">
        <f>IF($B79="","",'Rover CSV Data'!K79)</f>
        <v/>
      </c>
      <c r="T79" s="26" t="str">
        <f>IF($B79="","",COUNTIFS(POS_Time,"&gt;="&amp;($C79+CONVERT(Variables!$C$12,"sec","day")),POS_Time,"&lt;="&amp;($D79-CONVERT(Variables!$C$12+1,"sec","day")),POS_Q,"&lt;="&amp;Variables!$C$11))</f>
        <v/>
      </c>
      <c r="U79" s="26" t="str">
        <f>IF($B79="","",IF(1&gt;Variables!$C$11,0,COUNTIFS(POS_Time,"&gt;="&amp;($C79+CONVERT(Variables!$C$12,"sec","day")),POS_Time,"&lt;="&amp;($D79-CONVERT(Variables!$C$12+1,"sec","day")),POS_Q,"=1")))</f>
        <v/>
      </c>
      <c r="V79" s="26" t="str">
        <f>IF($B79="","",IF(2&gt;Variables!$C$11,0,COUNTIFS(POS_Time,"&gt;="&amp;($C79+CONVERT(Variables!$C$12,"sec","day")),POS_Time,"&lt;="&amp;($D79-CONVERT(Variables!$C$12+1,"sec","day")),POS_Q,"=2")))</f>
        <v/>
      </c>
      <c r="W79" s="26" t="str">
        <f>IF($B79="","",IF(3&gt;Variables!$C$11,0,COUNTIFS(POS_Time,"&gt;="&amp;($C79+CONVERT(Variables!$C$12,"sec","day")),POS_Time,"&lt;="&amp;($D79-CONVERT(Variables!$C$12+1,"sec","day")),POS_Q,"=3")))</f>
        <v/>
      </c>
      <c r="X79" s="26" t="str">
        <f>IF($B79="","",IF(4&gt;Variables!$C$11,0,COUNTIFS(POS_Time,"&gt;="&amp;($C79+CONVERT(Variables!$C$12,"sec","day")),POS_Time,"&lt;="&amp;($D79-CONVERT(Variables!$C$12+1,"sec","day")),POS_Q,"=4")))</f>
        <v/>
      </c>
      <c r="Y79" s="26" t="str">
        <f>IF($B79="","",IF(5&gt;Variables!$C$11,0,COUNTIFS(POS_Time,"&gt;="&amp;($C79+CONVERT(Variables!$C$12,"sec","day")),POS_Time,"&lt;="&amp;($D79-CONVERT(Variables!$C$12+1,"sec","day")),POS_Q,"=5")))</f>
        <v/>
      </c>
      <c r="Z79" s="26" t="str">
        <f>IF($B79="","",IF(6&gt;Variables!$C$11,0,COUNTIFS(POS_Time,"&gt;="&amp;($C79+CONVERT(Variables!$C$12,"sec","day")),POS_Time,"&lt;="&amp;($D79-CONVERT(Variables!$C$12+1,"sec","day")),POS_Q,"=6")))</f>
        <v/>
      </c>
    </row>
    <row r="80" spans="1:26" x14ac:dyDescent="0.25">
      <c r="A80" s="2">
        <v>79</v>
      </c>
      <c r="B80" s="27" t="str">
        <f>IF((ROW()-1)&lt;=RoverStations,'Rover CSV Data'!B80,"")</f>
        <v/>
      </c>
      <c r="C80" s="28" t="str">
        <f>IF($B80="","",DATEVALUE(LEFT('Rover CSV Data'!F80,FIND(" ",'Rover CSV Data'!F80)-1))+TIMEVALUE(MID('Rover CSV Data'!F80,LEN('Rover CSV Data'!F80)-FIND(" ",'Rover CSV Data'!F80),(FIND(" UTC",'Rover CSV Data'!F80))-(LEN('Rover CSV Data'!F80)-FIND(" ",'Rover CSV Data'!F80)))))</f>
        <v/>
      </c>
      <c r="D80" s="28" t="str">
        <f>IF($B80="","",DATEVALUE(LEFT('Rover CSV Data'!G80,FIND(" ",'Rover CSV Data'!G80)-1))+TIMEVALUE(MID('Rover CSV Data'!G80,LEN('Rover CSV Data'!G80)-FIND(" ",'Rover CSV Data'!G80),(FIND(" UTC",'Rover CSV Data'!G80))-(LEN('Rover CSV Data'!G80)-FIND(" ",'Rover CSV Data'!G80)))))</f>
        <v/>
      </c>
      <c r="E80" s="29" t="str">
        <f t="shared" si="2"/>
        <v/>
      </c>
      <c r="F80" s="26" t="str">
        <f>IF($B80="","",'Rover CSV Data'!J80)</f>
        <v/>
      </c>
      <c r="G80" s="26" t="str">
        <f>IF($B80="","",AVERAGEIFS(POS_Lat,POS_Time,"&gt;="&amp;($C80+CONVERT(Variables!$C$12,"sec","day")),POS_Time,"&lt;="&amp;($D80-CONVERT(Variables!$C$12+1,"sec","day")),POS_Q,"&lt;="&amp;Variables!$C$11))</f>
        <v/>
      </c>
      <c r="H80" s="26" t="str">
        <f>IF($B80="","",AVERAGEIFS(POS_Long,POS_Time,"&gt;="&amp;($C80+CONVERT(Variables!$C$12,"sec","day")),POS_Time,"&lt;="&amp;($D80-CONVERT(Variables!$C$12+1,"sec","day")),POS_Q,"&lt;="&amp;Variables!$C$11))</f>
        <v/>
      </c>
      <c r="I80" s="30" t="str">
        <f>IF($B80="","",AVERAGEIFS(POS_elev,POS_Time,"&gt;="&amp;($C80+CONVERT(Variables!$C$12,"sec","day")),POS_Time,"&lt;="&amp;($D80-CONVERT(Variables!$C$12+1,"sec","day")),POS_Q,"&lt;="&amp;Variables!$C$11)-S80)</f>
        <v/>
      </c>
      <c r="J80" s="26" t="str">
        <f>IF($B80="","",'Rover CSV Data'!D80)</f>
        <v/>
      </c>
      <c r="K80" s="26" t="str">
        <f>IF($B80="","",'Rover CSV Data'!C80)</f>
        <v/>
      </c>
      <c r="L80" s="26" t="str">
        <f>IF($B80="","",'Rover CSV Data'!E80)</f>
        <v/>
      </c>
      <c r="M80" s="30" t="str">
        <f>IF($B80="","",AVERAGEIFS(sdn,POS_Time,"&gt;="&amp;($C80+CONVERT(Variables!$C$12,"sec","day")),POS_Time,"&lt;="&amp;($D80-CONVERT(Variables!$C$12+1,"sec","day")),POS_Q,"&lt;="&amp;Variables!$C$11))</f>
        <v/>
      </c>
      <c r="N80" s="31" t="str">
        <f>IF($B80="","",AVERAGEIFS(sde,POS_Time,"&gt;="&amp;($C80+CONVERT(Variables!$C$12,"sec","day")),POS_Time,"&lt;="&amp;($D80-CONVERT(Variables!$C$12+1,"sec","day")),POS_Q,"&lt;="&amp;Variables!$C$11))</f>
        <v/>
      </c>
      <c r="O80" s="31" t="str">
        <f>IF($B80="","",AVERAGEIFS(sdu,POS_Time,"&gt;="&amp;($C80+CONVERT(Variables!$C$12,"sec","day")),POS_Time,"&lt;="&amp;($D80-CONVERT(Variables!$C$12+1,"sec","day")),POS_Q,"&lt;="&amp;Variables!$C$11))</f>
        <v/>
      </c>
      <c r="P80" s="32" t="str">
        <f t="array" ref="P80">IF($B80="","",STDEV(IF(POS_Time&gt;=($C80+CONVERT(Variables!$C$12,"sec","day")),IF(POS_Time&lt;=($D80-CONVERT(Variables!$C$12+1,"sec","day")),IF(POS_Q&lt;=Variables!$C$11,POS_Lat)))))</f>
        <v/>
      </c>
      <c r="Q80" s="32" t="str">
        <f t="array" ref="Q80">IF($B80="","",STDEV(IF(POS_Time&gt;=($C80+CONVERT(Variables!$C$12,"sec","day")),IF(POS_Time&lt;=($D80-CONVERT(Variables!$C$12+1,"sec","day")),IF(POS_Q&lt;=Variables!$C$11,POS_Long)))))</f>
        <v/>
      </c>
      <c r="R80" s="32" t="str">
        <f t="array" ref="R80">IF($B80="","",STDEV(IF(POS_Time&gt;=($C80+CONVERT(Variables!$C$12,"sec","day")),IF(POS_Time&lt;=($D80-CONVERT(Variables!$C$12+1,"sec","day")),IF(POS_Q&lt;=Variables!$C$11,POS_elev)))))</f>
        <v/>
      </c>
      <c r="S80" s="30" t="str">
        <f>IF($B80="","",'Rover CSV Data'!K80)</f>
        <v/>
      </c>
      <c r="T80" s="26" t="str">
        <f>IF($B80="","",COUNTIFS(POS_Time,"&gt;="&amp;($C80+CONVERT(Variables!$C$12,"sec","day")),POS_Time,"&lt;="&amp;($D80-CONVERT(Variables!$C$12+1,"sec","day")),POS_Q,"&lt;="&amp;Variables!$C$11))</f>
        <v/>
      </c>
      <c r="U80" s="26" t="str">
        <f>IF($B80="","",IF(1&gt;Variables!$C$11,0,COUNTIFS(POS_Time,"&gt;="&amp;($C80+CONVERT(Variables!$C$12,"sec","day")),POS_Time,"&lt;="&amp;($D80-CONVERT(Variables!$C$12+1,"sec","day")),POS_Q,"=1")))</f>
        <v/>
      </c>
      <c r="V80" s="26" t="str">
        <f>IF($B80="","",IF(2&gt;Variables!$C$11,0,COUNTIFS(POS_Time,"&gt;="&amp;($C80+CONVERT(Variables!$C$12,"sec","day")),POS_Time,"&lt;="&amp;($D80-CONVERT(Variables!$C$12+1,"sec","day")),POS_Q,"=2")))</f>
        <v/>
      </c>
      <c r="W80" s="26" t="str">
        <f>IF($B80="","",IF(3&gt;Variables!$C$11,0,COUNTIFS(POS_Time,"&gt;="&amp;($C80+CONVERT(Variables!$C$12,"sec","day")),POS_Time,"&lt;="&amp;($D80-CONVERT(Variables!$C$12+1,"sec","day")),POS_Q,"=3")))</f>
        <v/>
      </c>
      <c r="X80" s="26" t="str">
        <f>IF($B80="","",IF(4&gt;Variables!$C$11,0,COUNTIFS(POS_Time,"&gt;="&amp;($C80+CONVERT(Variables!$C$12,"sec","day")),POS_Time,"&lt;="&amp;($D80-CONVERT(Variables!$C$12+1,"sec","day")),POS_Q,"=4")))</f>
        <v/>
      </c>
      <c r="Y80" s="26" t="str">
        <f>IF($B80="","",IF(5&gt;Variables!$C$11,0,COUNTIFS(POS_Time,"&gt;="&amp;($C80+CONVERT(Variables!$C$12,"sec","day")),POS_Time,"&lt;="&amp;($D80-CONVERT(Variables!$C$12+1,"sec","day")),POS_Q,"=5")))</f>
        <v/>
      </c>
      <c r="Z80" s="26" t="str">
        <f>IF($B80="","",IF(6&gt;Variables!$C$11,0,COUNTIFS(POS_Time,"&gt;="&amp;($C80+CONVERT(Variables!$C$12,"sec","day")),POS_Time,"&lt;="&amp;($D80-CONVERT(Variables!$C$12+1,"sec","day")),POS_Q,"=6")))</f>
        <v/>
      </c>
    </row>
    <row r="81" spans="1:26" x14ac:dyDescent="0.25">
      <c r="A81" s="2">
        <v>80</v>
      </c>
      <c r="B81" s="27" t="str">
        <f>IF((ROW()-1)&lt;=RoverStations,'Rover CSV Data'!B81,"")</f>
        <v/>
      </c>
      <c r="C81" s="28" t="str">
        <f>IF($B81="","",DATEVALUE(LEFT('Rover CSV Data'!F81,FIND(" ",'Rover CSV Data'!F81)-1))+TIMEVALUE(MID('Rover CSV Data'!F81,LEN('Rover CSV Data'!F81)-FIND(" ",'Rover CSV Data'!F81),(FIND(" UTC",'Rover CSV Data'!F81))-(LEN('Rover CSV Data'!F81)-FIND(" ",'Rover CSV Data'!F81)))))</f>
        <v/>
      </c>
      <c r="D81" s="28" t="str">
        <f>IF($B81="","",DATEVALUE(LEFT('Rover CSV Data'!G81,FIND(" ",'Rover CSV Data'!G81)-1))+TIMEVALUE(MID('Rover CSV Data'!G81,LEN('Rover CSV Data'!G81)-FIND(" ",'Rover CSV Data'!G81),(FIND(" UTC",'Rover CSV Data'!G81))-(LEN('Rover CSV Data'!G81)-FIND(" ",'Rover CSV Data'!G81)))))</f>
        <v/>
      </c>
      <c r="E81" s="29" t="str">
        <f t="shared" si="2"/>
        <v/>
      </c>
      <c r="F81" s="26" t="str">
        <f>IF($B81="","",'Rover CSV Data'!J81)</f>
        <v/>
      </c>
      <c r="G81" s="26" t="str">
        <f>IF($B81="","",AVERAGEIFS(POS_Lat,POS_Time,"&gt;="&amp;($C81+CONVERT(Variables!$C$12,"sec","day")),POS_Time,"&lt;="&amp;($D81-CONVERT(Variables!$C$12+1,"sec","day")),POS_Q,"&lt;="&amp;Variables!$C$11))</f>
        <v/>
      </c>
      <c r="H81" s="26" t="str">
        <f>IF($B81="","",AVERAGEIFS(POS_Long,POS_Time,"&gt;="&amp;($C81+CONVERT(Variables!$C$12,"sec","day")),POS_Time,"&lt;="&amp;($D81-CONVERT(Variables!$C$12+1,"sec","day")),POS_Q,"&lt;="&amp;Variables!$C$11))</f>
        <v/>
      </c>
      <c r="I81" s="30" t="str">
        <f>IF($B81="","",AVERAGEIFS(POS_elev,POS_Time,"&gt;="&amp;($C81+CONVERT(Variables!$C$12,"sec","day")),POS_Time,"&lt;="&amp;($D81-CONVERT(Variables!$C$12+1,"sec","day")),POS_Q,"&lt;="&amp;Variables!$C$11)-S81)</f>
        <v/>
      </c>
      <c r="J81" s="26" t="str">
        <f>IF($B81="","",'Rover CSV Data'!D81)</f>
        <v/>
      </c>
      <c r="K81" s="26" t="str">
        <f>IF($B81="","",'Rover CSV Data'!C81)</f>
        <v/>
      </c>
      <c r="L81" s="26" t="str">
        <f>IF($B81="","",'Rover CSV Data'!E81)</f>
        <v/>
      </c>
      <c r="M81" s="30" t="str">
        <f>IF($B81="","",AVERAGEIFS(sdn,POS_Time,"&gt;="&amp;($C81+CONVERT(Variables!$C$12,"sec","day")),POS_Time,"&lt;="&amp;($D81-CONVERT(Variables!$C$12+1,"sec","day")),POS_Q,"&lt;="&amp;Variables!$C$11))</f>
        <v/>
      </c>
      <c r="N81" s="31" t="str">
        <f>IF($B81="","",AVERAGEIFS(sde,POS_Time,"&gt;="&amp;($C81+CONVERT(Variables!$C$12,"sec","day")),POS_Time,"&lt;="&amp;($D81-CONVERT(Variables!$C$12+1,"sec","day")),POS_Q,"&lt;="&amp;Variables!$C$11))</f>
        <v/>
      </c>
      <c r="O81" s="31" t="str">
        <f>IF($B81="","",AVERAGEIFS(sdu,POS_Time,"&gt;="&amp;($C81+CONVERT(Variables!$C$12,"sec","day")),POS_Time,"&lt;="&amp;($D81-CONVERT(Variables!$C$12+1,"sec","day")),POS_Q,"&lt;="&amp;Variables!$C$11))</f>
        <v/>
      </c>
      <c r="P81" s="32" t="str">
        <f t="array" ref="P81">IF($B81="","",STDEV(IF(POS_Time&gt;=($C81+CONVERT(Variables!$C$12,"sec","day")),IF(POS_Time&lt;=($D81-CONVERT(Variables!$C$12+1,"sec","day")),IF(POS_Q&lt;=Variables!$C$11,POS_Lat)))))</f>
        <v/>
      </c>
      <c r="Q81" s="32" t="str">
        <f t="array" ref="Q81">IF($B81="","",STDEV(IF(POS_Time&gt;=($C81+CONVERT(Variables!$C$12,"sec","day")),IF(POS_Time&lt;=($D81-CONVERT(Variables!$C$12+1,"sec","day")),IF(POS_Q&lt;=Variables!$C$11,POS_Long)))))</f>
        <v/>
      </c>
      <c r="R81" s="32" t="str">
        <f t="array" ref="R81">IF($B81="","",STDEV(IF(POS_Time&gt;=($C81+CONVERT(Variables!$C$12,"sec","day")),IF(POS_Time&lt;=($D81-CONVERT(Variables!$C$12+1,"sec","day")),IF(POS_Q&lt;=Variables!$C$11,POS_elev)))))</f>
        <v/>
      </c>
      <c r="S81" s="30" t="str">
        <f>IF($B81="","",'Rover CSV Data'!K81)</f>
        <v/>
      </c>
      <c r="T81" s="26" t="str">
        <f>IF($B81="","",COUNTIFS(POS_Time,"&gt;="&amp;($C81+CONVERT(Variables!$C$12,"sec","day")),POS_Time,"&lt;="&amp;($D81-CONVERT(Variables!$C$12+1,"sec","day")),POS_Q,"&lt;="&amp;Variables!$C$11))</f>
        <v/>
      </c>
      <c r="U81" s="26" t="str">
        <f>IF($B81="","",IF(1&gt;Variables!$C$11,0,COUNTIFS(POS_Time,"&gt;="&amp;($C81+CONVERT(Variables!$C$12,"sec","day")),POS_Time,"&lt;="&amp;($D81-CONVERT(Variables!$C$12+1,"sec","day")),POS_Q,"=1")))</f>
        <v/>
      </c>
      <c r="V81" s="26" t="str">
        <f>IF($B81="","",IF(2&gt;Variables!$C$11,0,COUNTIFS(POS_Time,"&gt;="&amp;($C81+CONVERT(Variables!$C$12,"sec","day")),POS_Time,"&lt;="&amp;($D81-CONVERT(Variables!$C$12+1,"sec","day")),POS_Q,"=2")))</f>
        <v/>
      </c>
      <c r="W81" s="26" t="str">
        <f>IF($B81="","",IF(3&gt;Variables!$C$11,0,COUNTIFS(POS_Time,"&gt;="&amp;($C81+CONVERT(Variables!$C$12,"sec","day")),POS_Time,"&lt;="&amp;($D81-CONVERT(Variables!$C$12+1,"sec","day")),POS_Q,"=3")))</f>
        <v/>
      </c>
      <c r="X81" s="26" t="str">
        <f>IF($B81="","",IF(4&gt;Variables!$C$11,0,COUNTIFS(POS_Time,"&gt;="&amp;($C81+CONVERT(Variables!$C$12,"sec","day")),POS_Time,"&lt;="&amp;($D81-CONVERT(Variables!$C$12+1,"sec","day")),POS_Q,"=4")))</f>
        <v/>
      </c>
      <c r="Y81" s="26" t="str">
        <f>IF($B81="","",IF(5&gt;Variables!$C$11,0,COUNTIFS(POS_Time,"&gt;="&amp;($C81+CONVERT(Variables!$C$12,"sec","day")),POS_Time,"&lt;="&amp;($D81-CONVERT(Variables!$C$12+1,"sec","day")),POS_Q,"=5")))</f>
        <v/>
      </c>
      <c r="Z81" s="26" t="str">
        <f>IF($B81="","",IF(6&gt;Variables!$C$11,0,COUNTIFS(POS_Time,"&gt;="&amp;($C81+CONVERT(Variables!$C$12,"sec","day")),POS_Time,"&lt;="&amp;($D81-CONVERT(Variables!$C$12+1,"sec","day")),POS_Q,"=6")))</f>
        <v/>
      </c>
    </row>
    <row r="82" spans="1:26" x14ac:dyDescent="0.25">
      <c r="A82" s="2">
        <v>81</v>
      </c>
      <c r="B82" s="27" t="str">
        <f>IF((ROW()-1)&lt;=RoverStations,'Rover CSV Data'!B82,"")</f>
        <v/>
      </c>
      <c r="C82" s="28" t="str">
        <f>IF($B82="","",DATEVALUE(LEFT('Rover CSV Data'!F82,FIND(" ",'Rover CSV Data'!F82)-1))+TIMEVALUE(MID('Rover CSV Data'!F82,LEN('Rover CSV Data'!F82)-FIND(" ",'Rover CSV Data'!F82),(FIND(" UTC",'Rover CSV Data'!F82))-(LEN('Rover CSV Data'!F82)-FIND(" ",'Rover CSV Data'!F82)))))</f>
        <v/>
      </c>
      <c r="D82" s="28" t="str">
        <f>IF($B82="","",DATEVALUE(LEFT('Rover CSV Data'!G82,FIND(" ",'Rover CSV Data'!G82)-1))+TIMEVALUE(MID('Rover CSV Data'!G82,LEN('Rover CSV Data'!G82)-FIND(" ",'Rover CSV Data'!G82),(FIND(" UTC",'Rover CSV Data'!G82))-(LEN('Rover CSV Data'!G82)-FIND(" ",'Rover CSV Data'!G82)))))</f>
        <v/>
      </c>
      <c r="E82" s="29" t="str">
        <f t="shared" si="2"/>
        <v/>
      </c>
      <c r="F82" s="26" t="str">
        <f>IF($B82="","",'Rover CSV Data'!J82)</f>
        <v/>
      </c>
      <c r="G82" s="26" t="str">
        <f>IF($B82="","",AVERAGEIFS(POS_Lat,POS_Time,"&gt;="&amp;($C82+CONVERT(Variables!$C$12,"sec","day")),POS_Time,"&lt;="&amp;($D82-CONVERT(Variables!$C$12+1,"sec","day")),POS_Q,"&lt;="&amp;Variables!$C$11))</f>
        <v/>
      </c>
      <c r="H82" s="26" t="str">
        <f>IF($B82="","",AVERAGEIFS(POS_Long,POS_Time,"&gt;="&amp;($C82+CONVERT(Variables!$C$12,"sec","day")),POS_Time,"&lt;="&amp;($D82-CONVERT(Variables!$C$12+1,"sec","day")),POS_Q,"&lt;="&amp;Variables!$C$11))</f>
        <v/>
      </c>
      <c r="I82" s="30" t="str">
        <f>IF($B82="","",AVERAGEIFS(POS_elev,POS_Time,"&gt;="&amp;($C82+CONVERT(Variables!$C$12,"sec","day")),POS_Time,"&lt;="&amp;($D82-CONVERT(Variables!$C$12+1,"sec","day")),POS_Q,"&lt;="&amp;Variables!$C$11)-S82)</f>
        <v/>
      </c>
      <c r="J82" s="26" t="str">
        <f>IF($B82="","",'Rover CSV Data'!D82)</f>
        <v/>
      </c>
      <c r="K82" s="26" t="str">
        <f>IF($B82="","",'Rover CSV Data'!C82)</f>
        <v/>
      </c>
      <c r="L82" s="26" t="str">
        <f>IF($B82="","",'Rover CSV Data'!E82)</f>
        <v/>
      </c>
      <c r="M82" s="30" t="str">
        <f>IF($B82="","",AVERAGEIFS(sdn,POS_Time,"&gt;="&amp;($C82+CONVERT(Variables!$C$12,"sec","day")),POS_Time,"&lt;="&amp;($D82-CONVERT(Variables!$C$12+1,"sec","day")),POS_Q,"&lt;="&amp;Variables!$C$11))</f>
        <v/>
      </c>
      <c r="N82" s="31" t="str">
        <f>IF($B82="","",AVERAGEIFS(sde,POS_Time,"&gt;="&amp;($C82+CONVERT(Variables!$C$12,"sec","day")),POS_Time,"&lt;="&amp;($D82-CONVERT(Variables!$C$12+1,"sec","day")),POS_Q,"&lt;="&amp;Variables!$C$11))</f>
        <v/>
      </c>
      <c r="O82" s="31" t="str">
        <f>IF($B82="","",AVERAGEIFS(sdu,POS_Time,"&gt;="&amp;($C82+CONVERT(Variables!$C$12,"sec","day")),POS_Time,"&lt;="&amp;($D82-CONVERT(Variables!$C$12+1,"sec","day")),POS_Q,"&lt;="&amp;Variables!$C$11))</f>
        <v/>
      </c>
      <c r="P82" s="32" t="str">
        <f t="array" ref="P82">IF($B82="","",STDEV(IF(POS_Time&gt;=($C82+CONVERT(Variables!$C$12,"sec","day")),IF(POS_Time&lt;=($D82-CONVERT(Variables!$C$12+1,"sec","day")),IF(POS_Q&lt;=Variables!$C$11,POS_Lat)))))</f>
        <v/>
      </c>
      <c r="Q82" s="32" t="str">
        <f t="array" ref="Q82">IF($B82="","",STDEV(IF(POS_Time&gt;=($C82+CONVERT(Variables!$C$12,"sec","day")),IF(POS_Time&lt;=($D82-CONVERT(Variables!$C$12+1,"sec","day")),IF(POS_Q&lt;=Variables!$C$11,POS_Long)))))</f>
        <v/>
      </c>
      <c r="R82" s="32" t="str">
        <f t="array" ref="R82">IF($B82="","",STDEV(IF(POS_Time&gt;=($C82+CONVERT(Variables!$C$12,"sec","day")),IF(POS_Time&lt;=($D82-CONVERT(Variables!$C$12+1,"sec","day")),IF(POS_Q&lt;=Variables!$C$11,POS_elev)))))</f>
        <v/>
      </c>
      <c r="S82" s="30" t="str">
        <f>IF($B82="","",'Rover CSV Data'!K82)</f>
        <v/>
      </c>
      <c r="T82" s="26" t="str">
        <f>IF($B82="","",COUNTIFS(POS_Time,"&gt;="&amp;($C82+CONVERT(Variables!$C$12,"sec","day")),POS_Time,"&lt;="&amp;($D82-CONVERT(Variables!$C$12+1,"sec","day")),POS_Q,"&lt;="&amp;Variables!$C$11))</f>
        <v/>
      </c>
      <c r="U82" s="26" t="str">
        <f>IF($B82="","",IF(1&gt;Variables!$C$11,0,COUNTIFS(POS_Time,"&gt;="&amp;($C82+CONVERT(Variables!$C$12,"sec","day")),POS_Time,"&lt;="&amp;($D82-CONVERT(Variables!$C$12+1,"sec","day")),POS_Q,"=1")))</f>
        <v/>
      </c>
      <c r="V82" s="26" t="str">
        <f>IF($B82="","",IF(2&gt;Variables!$C$11,0,COUNTIFS(POS_Time,"&gt;="&amp;($C82+CONVERT(Variables!$C$12,"sec","day")),POS_Time,"&lt;="&amp;($D82-CONVERT(Variables!$C$12+1,"sec","day")),POS_Q,"=2")))</f>
        <v/>
      </c>
      <c r="W82" s="26" t="str">
        <f>IF($B82="","",IF(3&gt;Variables!$C$11,0,COUNTIFS(POS_Time,"&gt;="&amp;($C82+CONVERT(Variables!$C$12,"sec","day")),POS_Time,"&lt;="&amp;($D82-CONVERT(Variables!$C$12+1,"sec","day")),POS_Q,"=3")))</f>
        <v/>
      </c>
      <c r="X82" s="26" t="str">
        <f>IF($B82="","",IF(4&gt;Variables!$C$11,0,COUNTIFS(POS_Time,"&gt;="&amp;($C82+CONVERT(Variables!$C$12,"sec","day")),POS_Time,"&lt;="&amp;($D82-CONVERT(Variables!$C$12+1,"sec","day")),POS_Q,"=4")))</f>
        <v/>
      </c>
      <c r="Y82" s="26" t="str">
        <f>IF($B82="","",IF(5&gt;Variables!$C$11,0,COUNTIFS(POS_Time,"&gt;="&amp;($C82+CONVERT(Variables!$C$12,"sec","day")),POS_Time,"&lt;="&amp;($D82-CONVERT(Variables!$C$12+1,"sec","day")),POS_Q,"=5")))</f>
        <v/>
      </c>
      <c r="Z82" s="26" t="str">
        <f>IF($B82="","",IF(6&gt;Variables!$C$11,0,COUNTIFS(POS_Time,"&gt;="&amp;($C82+CONVERT(Variables!$C$12,"sec","day")),POS_Time,"&lt;="&amp;($D82-CONVERT(Variables!$C$12+1,"sec","day")),POS_Q,"=6")))</f>
        <v/>
      </c>
    </row>
    <row r="83" spans="1:26" x14ac:dyDescent="0.25">
      <c r="A83" s="2">
        <v>82</v>
      </c>
      <c r="B83" s="27" t="str">
        <f>IF((ROW()-1)&lt;=RoverStations,'Rover CSV Data'!B83,"")</f>
        <v/>
      </c>
      <c r="C83" s="28" t="str">
        <f>IF($B83="","",DATEVALUE(LEFT('Rover CSV Data'!F83,FIND(" ",'Rover CSV Data'!F83)-1))+TIMEVALUE(MID('Rover CSV Data'!F83,LEN('Rover CSV Data'!F83)-FIND(" ",'Rover CSV Data'!F83),(FIND(" UTC",'Rover CSV Data'!F83))-(LEN('Rover CSV Data'!F83)-FIND(" ",'Rover CSV Data'!F83)))))</f>
        <v/>
      </c>
      <c r="D83" s="28" t="str">
        <f>IF($B83="","",DATEVALUE(LEFT('Rover CSV Data'!G83,FIND(" ",'Rover CSV Data'!G83)-1))+TIMEVALUE(MID('Rover CSV Data'!G83,LEN('Rover CSV Data'!G83)-FIND(" ",'Rover CSV Data'!G83),(FIND(" UTC",'Rover CSV Data'!G83))-(LEN('Rover CSV Data'!G83)-FIND(" ",'Rover CSV Data'!G83)))))</f>
        <v/>
      </c>
      <c r="E83" s="29" t="str">
        <f t="shared" si="2"/>
        <v/>
      </c>
      <c r="F83" s="26" t="str">
        <f>IF($B83="","",'Rover CSV Data'!J83)</f>
        <v/>
      </c>
      <c r="G83" s="26" t="str">
        <f>IF($B83="","",AVERAGEIFS(POS_Lat,POS_Time,"&gt;="&amp;($C83+CONVERT(Variables!$C$12,"sec","day")),POS_Time,"&lt;="&amp;($D83-CONVERT(Variables!$C$12+1,"sec","day")),POS_Q,"&lt;="&amp;Variables!$C$11))</f>
        <v/>
      </c>
      <c r="H83" s="26" t="str">
        <f>IF($B83="","",AVERAGEIFS(POS_Long,POS_Time,"&gt;="&amp;($C83+CONVERT(Variables!$C$12,"sec","day")),POS_Time,"&lt;="&amp;($D83-CONVERT(Variables!$C$12+1,"sec","day")),POS_Q,"&lt;="&amp;Variables!$C$11))</f>
        <v/>
      </c>
      <c r="I83" s="30" t="str">
        <f>IF($B83="","",AVERAGEIFS(POS_elev,POS_Time,"&gt;="&amp;($C83+CONVERT(Variables!$C$12,"sec","day")),POS_Time,"&lt;="&amp;($D83-CONVERT(Variables!$C$12+1,"sec","day")),POS_Q,"&lt;="&amp;Variables!$C$11)-S83)</f>
        <v/>
      </c>
      <c r="J83" s="26" t="str">
        <f>IF($B83="","",'Rover CSV Data'!D83)</f>
        <v/>
      </c>
      <c r="K83" s="26" t="str">
        <f>IF($B83="","",'Rover CSV Data'!C83)</f>
        <v/>
      </c>
      <c r="L83" s="26" t="str">
        <f>IF($B83="","",'Rover CSV Data'!E83)</f>
        <v/>
      </c>
      <c r="M83" s="30" t="str">
        <f>IF($B83="","",AVERAGEIFS(sdn,POS_Time,"&gt;="&amp;($C83+CONVERT(Variables!$C$12,"sec","day")),POS_Time,"&lt;="&amp;($D83-CONVERT(Variables!$C$12+1,"sec","day")),POS_Q,"&lt;="&amp;Variables!$C$11))</f>
        <v/>
      </c>
      <c r="N83" s="31" t="str">
        <f>IF($B83="","",AVERAGEIFS(sde,POS_Time,"&gt;="&amp;($C83+CONVERT(Variables!$C$12,"sec","day")),POS_Time,"&lt;="&amp;($D83-CONVERT(Variables!$C$12+1,"sec","day")),POS_Q,"&lt;="&amp;Variables!$C$11))</f>
        <v/>
      </c>
      <c r="O83" s="31" t="str">
        <f>IF($B83="","",AVERAGEIFS(sdu,POS_Time,"&gt;="&amp;($C83+CONVERT(Variables!$C$12,"sec","day")),POS_Time,"&lt;="&amp;($D83-CONVERT(Variables!$C$12+1,"sec","day")),POS_Q,"&lt;="&amp;Variables!$C$11))</f>
        <v/>
      </c>
      <c r="P83" s="32" t="str">
        <f t="array" ref="P83">IF($B83="","",STDEV(IF(POS_Time&gt;=($C83+CONVERT(Variables!$C$12,"sec","day")),IF(POS_Time&lt;=($D83-CONVERT(Variables!$C$12+1,"sec","day")),IF(POS_Q&lt;=Variables!$C$11,POS_Lat)))))</f>
        <v/>
      </c>
      <c r="Q83" s="32" t="str">
        <f t="array" ref="Q83">IF($B83="","",STDEV(IF(POS_Time&gt;=($C83+CONVERT(Variables!$C$12,"sec","day")),IF(POS_Time&lt;=($D83-CONVERT(Variables!$C$12+1,"sec","day")),IF(POS_Q&lt;=Variables!$C$11,POS_Long)))))</f>
        <v/>
      </c>
      <c r="R83" s="32" t="str">
        <f t="array" ref="R83">IF($B83="","",STDEV(IF(POS_Time&gt;=($C83+CONVERT(Variables!$C$12,"sec","day")),IF(POS_Time&lt;=($D83-CONVERT(Variables!$C$12+1,"sec","day")),IF(POS_Q&lt;=Variables!$C$11,POS_elev)))))</f>
        <v/>
      </c>
      <c r="S83" s="30" t="str">
        <f>IF($B83="","",'Rover CSV Data'!K83)</f>
        <v/>
      </c>
      <c r="T83" s="26" t="str">
        <f>IF($B83="","",COUNTIFS(POS_Time,"&gt;="&amp;($C83+CONVERT(Variables!$C$12,"sec","day")),POS_Time,"&lt;="&amp;($D83-CONVERT(Variables!$C$12+1,"sec","day")),POS_Q,"&lt;="&amp;Variables!$C$11))</f>
        <v/>
      </c>
      <c r="U83" s="26" t="str">
        <f>IF($B83="","",IF(1&gt;Variables!$C$11,0,COUNTIFS(POS_Time,"&gt;="&amp;($C83+CONVERT(Variables!$C$12,"sec","day")),POS_Time,"&lt;="&amp;($D83-CONVERT(Variables!$C$12+1,"sec","day")),POS_Q,"=1")))</f>
        <v/>
      </c>
      <c r="V83" s="26" t="str">
        <f>IF($B83="","",IF(2&gt;Variables!$C$11,0,COUNTIFS(POS_Time,"&gt;="&amp;($C83+CONVERT(Variables!$C$12,"sec","day")),POS_Time,"&lt;="&amp;($D83-CONVERT(Variables!$C$12+1,"sec","day")),POS_Q,"=2")))</f>
        <v/>
      </c>
      <c r="W83" s="26" t="str">
        <f>IF($B83="","",IF(3&gt;Variables!$C$11,0,COUNTIFS(POS_Time,"&gt;="&amp;($C83+CONVERT(Variables!$C$12,"sec","day")),POS_Time,"&lt;="&amp;($D83-CONVERT(Variables!$C$12+1,"sec","day")),POS_Q,"=3")))</f>
        <v/>
      </c>
      <c r="X83" s="26" t="str">
        <f>IF($B83="","",IF(4&gt;Variables!$C$11,0,COUNTIFS(POS_Time,"&gt;="&amp;($C83+CONVERT(Variables!$C$12,"sec","day")),POS_Time,"&lt;="&amp;($D83-CONVERT(Variables!$C$12+1,"sec","day")),POS_Q,"=4")))</f>
        <v/>
      </c>
      <c r="Y83" s="26" t="str">
        <f>IF($B83="","",IF(5&gt;Variables!$C$11,0,COUNTIFS(POS_Time,"&gt;="&amp;($C83+CONVERT(Variables!$C$12,"sec","day")),POS_Time,"&lt;="&amp;($D83-CONVERT(Variables!$C$12+1,"sec","day")),POS_Q,"=5")))</f>
        <v/>
      </c>
      <c r="Z83" s="26" t="str">
        <f>IF($B83="","",IF(6&gt;Variables!$C$11,0,COUNTIFS(POS_Time,"&gt;="&amp;($C83+CONVERT(Variables!$C$12,"sec","day")),POS_Time,"&lt;="&amp;($D83-CONVERT(Variables!$C$12+1,"sec","day")),POS_Q,"=6")))</f>
        <v/>
      </c>
    </row>
    <row r="84" spans="1:26" x14ac:dyDescent="0.25">
      <c r="A84" s="2">
        <v>83</v>
      </c>
      <c r="B84" s="27" t="str">
        <f>IF((ROW()-1)&lt;=RoverStations,'Rover CSV Data'!B84,"")</f>
        <v/>
      </c>
      <c r="C84" s="28" t="str">
        <f>IF($B84="","",DATEVALUE(LEFT('Rover CSV Data'!F84,FIND(" ",'Rover CSV Data'!F84)-1))+TIMEVALUE(MID('Rover CSV Data'!F84,LEN('Rover CSV Data'!F84)-FIND(" ",'Rover CSV Data'!F84),(FIND(" UTC",'Rover CSV Data'!F84))-(LEN('Rover CSV Data'!F84)-FIND(" ",'Rover CSV Data'!F84)))))</f>
        <v/>
      </c>
      <c r="D84" s="28" t="str">
        <f>IF($B84="","",DATEVALUE(LEFT('Rover CSV Data'!G84,FIND(" ",'Rover CSV Data'!G84)-1))+TIMEVALUE(MID('Rover CSV Data'!G84,LEN('Rover CSV Data'!G84)-FIND(" ",'Rover CSV Data'!G84),(FIND(" UTC",'Rover CSV Data'!G84))-(LEN('Rover CSV Data'!G84)-FIND(" ",'Rover CSV Data'!G84)))))</f>
        <v/>
      </c>
      <c r="E84" s="29" t="str">
        <f t="shared" si="2"/>
        <v/>
      </c>
      <c r="F84" s="26" t="str">
        <f>IF($B84="","",'Rover CSV Data'!J84)</f>
        <v/>
      </c>
      <c r="G84" s="26" t="str">
        <f>IF($B84="","",AVERAGEIFS(POS_Lat,POS_Time,"&gt;="&amp;($C84+CONVERT(Variables!$C$12,"sec","day")),POS_Time,"&lt;="&amp;($D84-CONVERT(Variables!$C$12+1,"sec","day")),POS_Q,"&lt;="&amp;Variables!$C$11))</f>
        <v/>
      </c>
      <c r="H84" s="26" t="str">
        <f>IF($B84="","",AVERAGEIFS(POS_Long,POS_Time,"&gt;="&amp;($C84+CONVERT(Variables!$C$12,"sec","day")),POS_Time,"&lt;="&amp;($D84-CONVERT(Variables!$C$12+1,"sec","day")),POS_Q,"&lt;="&amp;Variables!$C$11))</f>
        <v/>
      </c>
      <c r="I84" s="30" t="str">
        <f>IF($B84="","",AVERAGEIFS(POS_elev,POS_Time,"&gt;="&amp;($C84+CONVERT(Variables!$C$12,"sec","day")),POS_Time,"&lt;="&amp;($D84-CONVERT(Variables!$C$12+1,"sec","day")),POS_Q,"&lt;="&amp;Variables!$C$11)-S84)</f>
        <v/>
      </c>
      <c r="J84" s="26" t="str">
        <f>IF($B84="","",'Rover CSV Data'!D84)</f>
        <v/>
      </c>
      <c r="K84" s="26" t="str">
        <f>IF($B84="","",'Rover CSV Data'!C84)</f>
        <v/>
      </c>
      <c r="L84" s="26" t="str">
        <f>IF($B84="","",'Rover CSV Data'!E84)</f>
        <v/>
      </c>
      <c r="M84" s="30" t="str">
        <f>IF($B84="","",AVERAGEIFS(sdn,POS_Time,"&gt;="&amp;($C84+CONVERT(Variables!$C$12,"sec","day")),POS_Time,"&lt;="&amp;($D84-CONVERT(Variables!$C$12+1,"sec","day")),POS_Q,"&lt;="&amp;Variables!$C$11))</f>
        <v/>
      </c>
      <c r="N84" s="31" t="str">
        <f>IF($B84="","",AVERAGEIFS(sde,POS_Time,"&gt;="&amp;($C84+CONVERT(Variables!$C$12,"sec","day")),POS_Time,"&lt;="&amp;($D84-CONVERT(Variables!$C$12+1,"sec","day")),POS_Q,"&lt;="&amp;Variables!$C$11))</f>
        <v/>
      </c>
      <c r="O84" s="31" t="str">
        <f>IF($B84="","",AVERAGEIFS(sdu,POS_Time,"&gt;="&amp;($C84+CONVERT(Variables!$C$12,"sec","day")),POS_Time,"&lt;="&amp;($D84-CONVERT(Variables!$C$12+1,"sec","day")),POS_Q,"&lt;="&amp;Variables!$C$11))</f>
        <v/>
      </c>
      <c r="P84" s="32" t="str">
        <f t="array" ref="P84">IF($B84="","",STDEV(IF(POS_Time&gt;=($C84+CONVERT(Variables!$C$12,"sec","day")),IF(POS_Time&lt;=($D84-CONVERT(Variables!$C$12+1,"sec","day")),IF(POS_Q&lt;=Variables!$C$11,POS_Lat)))))</f>
        <v/>
      </c>
      <c r="Q84" s="32" t="str">
        <f t="array" ref="Q84">IF($B84="","",STDEV(IF(POS_Time&gt;=($C84+CONVERT(Variables!$C$12,"sec","day")),IF(POS_Time&lt;=($D84-CONVERT(Variables!$C$12+1,"sec","day")),IF(POS_Q&lt;=Variables!$C$11,POS_Long)))))</f>
        <v/>
      </c>
      <c r="R84" s="32" t="str">
        <f t="array" ref="R84">IF($B84="","",STDEV(IF(POS_Time&gt;=($C84+CONVERT(Variables!$C$12,"sec","day")),IF(POS_Time&lt;=($D84-CONVERT(Variables!$C$12+1,"sec","day")),IF(POS_Q&lt;=Variables!$C$11,POS_elev)))))</f>
        <v/>
      </c>
      <c r="S84" s="30" t="str">
        <f>IF($B84="","",'Rover CSV Data'!K84)</f>
        <v/>
      </c>
      <c r="T84" s="26" t="str">
        <f>IF($B84="","",COUNTIFS(POS_Time,"&gt;="&amp;($C84+CONVERT(Variables!$C$12,"sec","day")),POS_Time,"&lt;="&amp;($D84-CONVERT(Variables!$C$12+1,"sec","day")),POS_Q,"&lt;="&amp;Variables!$C$11))</f>
        <v/>
      </c>
      <c r="U84" s="26" t="str">
        <f>IF($B84="","",IF(1&gt;Variables!$C$11,0,COUNTIFS(POS_Time,"&gt;="&amp;($C84+CONVERT(Variables!$C$12,"sec","day")),POS_Time,"&lt;="&amp;($D84-CONVERT(Variables!$C$12+1,"sec","day")),POS_Q,"=1")))</f>
        <v/>
      </c>
      <c r="V84" s="26" t="str">
        <f>IF($B84="","",IF(2&gt;Variables!$C$11,0,COUNTIFS(POS_Time,"&gt;="&amp;($C84+CONVERT(Variables!$C$12,"sec","day")),POS_Time,"&lt;="&amp;($D84-CONVERT(Variables!$C$12+1,"sec","day")),POS_Q,"=2")))</f>
        <v/>
      </c>
      <c r="W84" s="26" t="str">
        <f>IF($B84="","",IF(3&gt;Variables!$C$11,0,COUNTIFS(POS_Time,"&gt;="&amp;($C84+CONVERT(Variables!$C$12,"sec","day")),POS_Time,"&lt;="&amp;($D84-CONVERT(Variables!$C$12+1,"sec","day")),POS_Q,"=3")))</f>
        <v/>
      </c>
      <c r="X84" s="26" t="str">
        <f>IF($B84="","",IF(4&gt;Variables!$C$11,0,COUNTIFS(POS_Time,"&gt;="&amp;($C84+CONVERT(Variables!$C$12,"sec","day")),POS_Time,"&lt;="&amp;($D84-CONVERT(Variables!$C$12+1,"sec","day")),POS_Q,"=4")))</f>
        <v/>
      </c>
      <c r="Y84" s="26" t="str">
        <f>IF($B84="","",IF(5&gt;Variables!$C$11,0,COUNTIFS(POS_Time,"&gt;="&amp;($C84+CONVERT(Variables!$C$12,"sec","day")),POS_Time,"&lt;="&amp;($D84-CONVERT(Variables!$C$12+1,"sec","day")),POS_Q,"=5")))</f>
        <v/>
      </c>
      <c r="Z84" s="26" t="str">
        <f>IF($B84="","",IF(6&gt;Variables!$C$11,0,COUNTIFS(POS_Time,"&gt;="&amp;($C84+CONVERT(Variables!$C$12,"sec","day")),POS_Time,"&lt;="&amp;($D84-CONVERT(Variables!$C$12+1,"sec","day")),POS_Q,"=6")))</f>
        <v/>
      </c>
    </row>
    <row r="85" spans="1:26" x14ac:dyDescent="0.25">
      <c r="A85" s="2">
        <v>84</v>
      </c>
      <c r="B85" s="27" t="str">
        <f>IF((ROW()-1)&lt;=RoverStations,'Rover CSV Data'!B85,"")</f>
        <v/>
      </c>
      <c r="C85" s="28" t="str">
        <f>IF($B85="","",DATEVALUE(LEFT('Rover CSV Data'!F85,FIND(" ",'Rover CSV Data'!F85)-1))+TIMEVALUE(MID('Rover CSV Data'!F85,LEN('Rover CSV Data'!F85)-FIND(" ",'Rover CSV Data'!F85),(FIND(" UTC",'Rover CSV Data'!F85))-(LEN('Rover CSV Data'!F85)-FIND(" ",'Rover CSV Data'!F85)))))</f>
        <v/>
      </c>
      <c r="D85" s="28" t="str">
        <f>IF($B85="","",DATEVALUE(LEFT('Rover CSV Data'!G85,FIND(" ",'Rover CSV Data'!G85)-1))+TIMEVALUE(MID('Rover CSV Data'!G85,LEN('Rover CSV Data'!G85)-FIND(" ",'Rover CSV Data'!G85),(FIND(" UTC",'Rover CSV Data'!G85))-(LEN('Rover CSV Data'!G85)-FIND(" ",'Rover CSV Data'!G85)))))</f>
        <v/>
      </c>
      <c r="E85" s="29" t="str">
        <f t="shared" si="2"/>
        <v/>
      </c>
      <c r="F85" s="26" t="str">
        <f>IF($B85="","",'Rover CSV Data'!J85)</f>
        <v/>
      </c>
      <c r="G85" s="26" t="str">
        <f>IF($B85="","",AVERAGEIFS(POS_Lat,POS_Time,"&gt;="&amp;($C85+CONVERT(Variables!$C$12,"sec","day")),POS_Time,"&lt;="&amp;($D85-CONVERT(Variables!$C$12+1,"sec","day")),POS_Q,"&lt;="&amp;Variables!$C$11))</f>
        <v/>
      </c>
      <c r="H85" s="26" t="str">
        <f>IF($B85="","",AVERAGEIFS(POS_Long,POS_Time,"&gt;="&amp;($C85+CONVERT(Variables!$C$12,"sec","day")),POS_Time,"&lt;="&amp;($D85-CONVERT(Variables!$C$12+1,"sec","day")),POS_Q,"&lt;="&amp;Variables!$C$11))</f>
        <v/>
      </c>
      <c r="I85" s="30" t="str">
        <f>IF($B85="","",AVERAGEIFS(POS_elev,POS_Time,"&gt;="&amp;($C85+CONVERT(Variables!$C$12,"sec","day")),POS_Time,"&lt;="&amp;($D85-CONVERT(Variables!$C$12+1,"sec","day")),POS_Q,"&lt;="&amp;Variables!$C$11)-S85)</f>
        <v/>
      </c>
      <c r="J85" s="26" t="str">
        <f>IF($B85="","",'Rover CSV Data'!D85)</f>
        <v/>
      </c>
      <c r="K85" s="26" t="str">
        <f>IF($B85="","",'Rover CSV Data'!C85)</f>
        <v/>
      </c>
      <c r="L85" s="26" t="str">
        <f>IF($B85="","",'Rover CSV Data'!E85)</f>
        <v/>
      </c>
      <c r="M85" s="30" t="str">
        <f>IF($B85="","",AVERAGEIFS(sdn,POS_Time,"&gt;="&amp;($C85+CONVERT(Variables!$C$12,"sec","day")),POS_Time,"&lt;="&amp;($D85-CONVERT(Variables!$C$12+1,"sec","day")),POS_Q,"&lt;="&amp;Variables!$C$11))</f>
        <v/>
      </c>
      <c r="N85" s="31" t="str">
        <f>IF($B85="","",AVERAGEIFS(sde,POS_Time,"&gt;="&amp;($C85+CONVERT(Variables!$C$12,"sec","day")),POS_Time,"&lt;="&amp;($D85-CONVERT(Variables!$C$12+1,"sec","day")),POS_Q,"&lt;="&amp;Variables!$C$11))</f>
        <v/>
      </c>
      <c r="O85" s="31" t="str">
        <f>IF($B85="","",AVERAGEIFS(sdu,POS_Time,"&gt;="&amp;($C85+CONVERT(Variables!$C$12,"sec","day")),POS_Time,"&lt;="&amp;($D85-CONVERT(Variables!$C$12+1,"sec","day")),POS_Q,"&lt;="&amp;Variables!$C$11))</f>
        <v/>
      </c>
      <c r="P85" s="32" t="str">
        <f t="array" ref="P85">IF($B85="","",STDEV(IF(POS_Time&gt;=($C85+CONVERT(Variables!$C$12,"sec","day")),IF(POS_Time&lt;=($D85-CONVERT(Variables!$C$12+1,"sec","day")),IF(POS_Q&lt;=Variables!$C$11,POS_Lat)))))</f>
        <v/>
      </c>
      <c r="Q85" s="32" t="str">
        <f t="array" ref="Q85">IF($B85="","",STDEV(IF(POS_Time&gt;=($C85+CONVERT(Variables!$C$12,"sec","day")),IF(POS_Time&lt;=($D85-CONVERT(Variables!$C$12+1,"sec","day")),IF(POS_Q&lt;=Variables!$C$11,POS_Long)))))</f>
        <v/>
      </c>
      <c r="R85" s="32" t="str">
        <f t="array" ref="R85">IF($B85="","",STDEV(IF(POS_Time&gt;=($C85+CONVERT(Variables!$C$12,"sec","day")),IF(POS_Time&lt;=($D85-CONVERT(Variables!$C$12+1,"sec","day")),IF(POS_Q&lt;=Variables!$C$11,POS_elev)))))</f>
        <v/>
      </c>
      <c r="S85" s="30" t="str">
        <f>IF($B85="","",'Rover CSV Data'!K85)</f>
        <v/>
      </c>
      <c r="T85" s="26" t="str">
        <f>IF($B85="","",COUNTIFS(POS_Time,"&gt;="&amp;($C85+CONVERT(Variables!$C$12,"sec","day")),POS_Time,"&lt;="&amp;($D85-CONVERT(Variables!$C$12+1,"sec","day")),POS_Q,"&lt;="&amp;Variables!$C$11))</f>
        <v/>
      </c>
      <c r="U85" s="26" t="str">
        <f>IF($B85="","",IF(1&gt;Variables!$C$11,0,COUNTIFS(POS_Time,"&gt;="&amp;($C85+CONVERT(Variables!$C$12,"sec","day")),POS_Time,"&lt;="&amp;($D85-CONVERT(Variables!$C$12+1,"sec","day")),POS_Q,"=1")))</f>
        <v/>
      </c>
      <c r="V85" s="26" t="str">
        <f>IF($B85="","",IF(2&gt;Variables!$C$11,0,COUNTIFS(POS_Time,"&gt;="&amp;($C85+CONVERT(Variables!$C$12,"sec","day")),POS_Time,"&lt;="&amp;($D85-CONVERT(Variables!$C$12+1,"sec","day")),POS_Q,"=2")))</f>
        <v/>
      </c>
      <c r="W85" s="26" t="str">
        <f>IF($B85="","",IF(3&gt;Variables!$C$11,0,COUNTIFS(POS_Time,"&gt;="&amp;($C85+CONVERT(Variables!$C$12,"sec","day")),POS_Time,"&lt;="&amp;($D85-CONVERT(Variables!$C$12+1,"sec","day")),POS_Q,"=3")))</f>
        <v/>
      </c>
      <c r="X85" s="26" t="str">
        <f>IF($B85="","",IF(4&gt;Variables!$C$11,0,COUNTIFS(POS_Time,"&gt;="&amp;($C85+CONVERT(Variables!$C$12,"sec","day")),POS_Time,"&lt;="&amp;($D85-CONVERT(Variables!$C$12+1,"sec","day")),POS_Q,"=4")))</f>
        <v/>
      </c>
      <c r="Y85" s="26" t="str">
        <f>IF($B85="","",IF(5&gt;Variables!$C$11,0,COUNTIFS(POS_Time,"&gt;="&amp;($C85+CONVERT(Variables!$C$12,"sec","day")),POS_Time,"&lt;="&amp;($D85-CONVERT(Variables!$C$12+1,"sec","day")),POS_Q,"=5")))</f>
        <v/>
      </c>
      <c r="Z85" s="26" t="str">
        <f>IF($B85="","",IF(6&gt;Variables!$C$11,0,COUNTIFS(POS_Time,"&gt;="&amp;($C85+CONVERT(Variables!$C$12,"sec","day")),POS_Time,"&lt;="&amp;($D85-CONVERT(Variables!$C$12+1,"sec","day")),POS_Q,"=6")))</f>
        <v/>
      </c>
    </row>
    <row r="86" spans="1:26" x14ac:dyDescent="0.25">
      <c r="A86" s="2">
        <v>85</v>
      </c>
      <c r="B86" s="27" t="str">
        <f>IF((ROW()-1)&lt;=RoverStations,'Rover CSV Data'!B86,"")</f>
        <v/>
      </c>
      <c r="C86" s="28" t="str">
        <f>IF($B86="","",DATEVALUE(LEFT('Rover CSV Data'!F86,FIND(" ",'Rover CSV Data'!F86)-1))+TIMEVALUE(MID('Rover CSV Data'!F86,LEN('Rover CSV Data'!F86)-FIND(" ",'Rover CSV Data'!F86),(FIND(" UTC",'Rover CSV Data'!F86))-(LEN('Rover CSV Data'!F86)-FIND(" ",'Rover CSV Data'!F86)))))</f>
        <v/>
      </c>
      <c r="D86" s="28" t="str">
        <f>IF($B86="","",DATEVALUE(LEFT('Rover CSV Data'!G86,FIND(" ",'Rover CSV Data'!G86)-1))+TIMEVALUE(MID('Rover CSV Data'!G86,LEN('Rover CSV Data'!G86)-FIND(" ",'Rover CSV Data'!G86),(FIND(" UTC",'Rover CSV Data'!G86))-(LEN('Rover CSV Data'!G86)-FIND(" ",'Rover CSV Data'!G86)))))</f>
        <v/>
      </c>
      <c r="E86" s="29" t="str">
        <f t="shared" si="2"/>
        <v/>
      </c>
      <c r="F86" s="26" t="str">
        <f>IF($B86="","",'Rover CSV Data'!J86)</f>
        <v/>
      </c>
      <c r="G86" s="26" t="str">
        <f>IF($B86="","",AVERAGEIFS(POS_Lat,POS_Time,"&gt;="&amp;($C86+CONVERT(Variables!$C$12,"sec","day")),POS_Time,"&lt;="&amp;($D86-CONVERT(Variables!$C$12+1,"sec","day")),POS_Q,"&lt;="&amp;Variables!$C$11))</f>
        <v/>
      </c>
      <c r="H86" s="26" t="str">
        <f>IF($B86="","",AVERAGEIFS(POS_Long,POS_Time,"&gt;="&amp;($C86+CONVERT(Variables!$C$12,"sec","day")),POS_Time,"&lt;="&amp;($D86-CONVERT(Variables!$C$12+1,"sec","day")),POS_Q,"&lt;="&amp;Variables!$C$11))</f>
        <v/>
      </c>
      <c r="I86" s="30" t="str">
        <f>IF($B86="","",AVERAGEIFS(POS_elev,POS_Time,"&gt;="&amp;($C86+CONVERT(Variables!$C$12,"sec","day")),POS_Time,"&lt;="&amp;($D86-CONVERT(Variables!$C$12+1,"sec","day")),POS_Q,"&lt;="&amp;Variables!$C$11)-S86)</f>
        <v/>
      </c>
      <c r="J86" s="26" t="str">
        <f>IF($B86="","",'Rover CSV Data'!D86)</f>
        <v/>
      </c>
      <c r="K86" s="26" t="str">
        <f>IF($B86="","",'Rover CSV Data'!C86)</f>
        <v/>
      </c>
      <c r="L86" s="26" t="str">
        <f>IF($B86="","",'Rover CSV Data'!E86)</f>
        <v/>
      </c>
      <c r="M86" s="30" t="str">
        <f>IF($B86="","",AVERAGEIFS(sdn,POS_Time,"&gt;="&amp;($C86+CONVERT(Variables!$C$12,"sec","day")),POS_Time,"&lt;="&amp;($D86-CONVERT(Variables!$C$12+1,"sec","day")),POS_Q,"&lt;="&amp;Variables!$C$11))</f>
        <v/>
      </c>
      <c r="N86" s="31" t="str">
        <f>IF($B86="","",AVERAGEIFS(sde,POS_Time,"&gt;="&amp;($C86+CONVERT(Variables!$C$12,"sec","day")),POS_Time,"&lt;="&amp;($D86-CONVERT(Variables!$C$12+1,"sec","day")),POS_Q,"&lt;="&amp;Variables!$C$11))</f>
        <v/>
      </c>
      <c r="O86" s="31" t="str">
        <f>IF($B86="","",AVERAGEIFS(sdu,POS_Time,"&gt;="&amp;($C86+CONVERT(Variables!$C$12,"sec","day")),POS_Time,"&lt;="&amp;($D86-CONVERT(Variables!$C$12+1,"sec","day")),POS_Q,"&lt;="&amp;Variables!$C$11))</f>
        <v/>
      </c>
      <c r="P86" s="32" t="str">
        <f t="array" ref="P86">IF($B86="","",STDEV(IF(POS_Time&gt;=($C86+CONVERT(Variables!$C$12,"sec","day")),IF(POS_Time&lt;=($D86-CONVERT(Variables!$C$12+1,"sec","day")),IF(POS_Q&lt;=Variables!$C$11,POS_Lat)))))</f>
        <v/>
      </c>
      <c r="Q86" s="32" t="str">
        <f t="array" ref="Q86">IF($B86="","",STDEV(IF(POS_Time&gt;=($C86+CONVERT(Variables!$C$12,"sec","day")),IF(POS_Time&lt;=($D86-CONVERT(Variables!$C$12+1,"sec","day")),IF(POS_Q&lt;=Variables!$C$11,POS_Long)))))</f>
        <v/>
      </c>
      <c r="R86" s="32" t="str">
        <f t="array" ref="R86">IF($B86="","",STDEV(IF(POS_Time&gt;=($C86+CONVERT(Variables!$C$12,"sec","day")),IF(POS_Time&lt;=($D86-CONVERT(Variables!$C$12+1,"sec","day")),IF(POS_Q&lt;=Variables!$C$11,POS_elev)))))</f>
        <v/>
      </c>
      <c r="S86" s="30" t="str">
        <f>IF($B86="","",'Rover CSV Data'!K86)</f>
        <v/>
      </c>
      <c r="T86" s="26" t="str">
        <f>IF($B86="","",COUNTIFS(POS_Time,"&gt;="&amp;($C86+CONVERT(Variables!$C$12,"sec","day")),POS_Time,"&lt;="&amp;($D86-CONVERT(Variables!$C$12+1,"sec","day")),POS_Q,"&lt;="&amp;Variables!$C$11))</f>
        <v/>
      </c>
      <c r="U86" s="26" t="str">
        <f>IF($B86="","",IF(1&gt;Variables!$C$11,0,COUNTIFS(POS_Time,"&gt;="&amp;($C86+CONVERT(Variables!$C$12,"sec","day")),POS_Time,"&lt;="&amp;($D86-CONVERT(Variables!$C$12+1,"sec","day")),POS_Q,"=1")))</f>
        <v/>
      </c>
      <c r="V86" s="26" t="str">
        <f>IF($B86="","",IF(2&gt;Variables!$C$11,0,COUNTIFS(POS_Time,"&gt;="&amp;($C86+CONVERT(Variables!$C$12,"sec","day")),POS_Time,"&lt;="&amp;($D86-CONVERT(Variables!$C$12+1,"sec","day")),POS_Q,"=2")))</f>
        <v/>
      </c>
      <c r="W86" s="26" t="str">
        <f>IF($B86="","",IF(3&gt;Variables!$C$11,0,COUNTIFS(POS_Time,"&gt;="&amp;($C86+CONVERT(Variables!$C$12,"sec","day")),POS_Time,"&lt;="&amp;($D86-CONVERT(Variables!$C$12+1,"sec","day")),POS_Q,"=3")))</f>
        <v/>
      </c>
      <c r="X86" s="26" t="str">
        <f>IF($B86="","",IF(4&gt;Variables!$C$11,0,COUNTIFS(POS_Time,"&gt;="&amp;($C86+CONVERT(Variables!$C$12,"sec","day")),POS_Time,"&lt;="&amp;($D86-CONVERT(Variables!$C$12+1,"sec","day")),POS_Q,"=4")))</f>
        <v/>
      </c>
      <c r="Y86" s="26" t="str">
        <f>IF($B86="","",IF(5&gt;Variables!$C$11,0,COUNTIFS(POS_Time,"&gt;="&amp;($C86+CONVERT(Variables!$C$12,"sec","day")),POS_Time,"&lt;="&amp;($D86-CONVERT(Variables!$C$12+1,"sec","day")),POS_Q,"=5")))</f>
        <v/>
      </c>
      <c r="Z86" s="26" t="str">
        <f>IF($B86="","",IF(6&gt;Variables!$C$11,0,COUNTIFS(POS_Time,"&gt;="&amp;($C86+CONVERT(Variables!$C$12,"sec","day")),POS_Time,"&lt;="&amp;($D86-CONVERT(Variables!$C$12+1,"sec","day")),POS_Q,"=6")))</f>
        <v/>
      </c>
    </row>
    <row r="87" spans="1:26" x14ac:dyDescent="0.25">
      <c r="A87" s="2">
        <v>86</v>
      </c>
      <c r="B87" s="27" t="str">
        <f>IF((ROW()-1)&lt;=RoverStations,'Rover CSV Data'!B87,"")</f>
        <v/>
      </c>
      <c r="C87" s="28" t="str">
        <f>IF($B87="","",DATEVALUE(LEFT('Rover CSV Data'!F87,FIND(" ",'Rover CSV Data'!F87)-1))+TIMEVALUE(MID('Rover CSV Data'!F87,LEN('Rover CSV Data'!F87)-FIND(" ",'Rover CSV Data'!F87),(FIND(" UTC",'Rover CSV Data'!F87))-(LEN('Rover CSV Data'!F87)-FIND(" ",'Rover CSV Data'!F87)))))</f>
        <v/>
      </c>
      <c r="D87" s="28" t="str">
        <f>IF($B87="","",DATEVALUE(LEFT('Rover CSV Data'!G87,FIND(" ",'Rover CSV Data'!G87)-1))+TIMEVALUE(MID('Rover CSV Data'!G87,LEN('Rover CSV Data'!G87)-FIND(" ",'Rover CSV Data'!G87),(FIND(" UTC",'Rover CSV Data'!G87))-(LEN('Rover CSV Data'!G87)-FIND(" ",'Rover CSV Data'!G87)))))</f>
        <v/>
      </c>
      <c r="E87" s="29" t="str">
        <f t="shared" si="2"/>
        <v/>
      </c>
      <c r="F87" s="26" t="str">
        <f>IF($B87="","",'Rover CSV Data'!J87)</f>
        <v/>
      </c>
      <c r="G87" s="26" t="str">
        <f>IF($B87="","",AVERAGEIFS(POS_Lat,POS_Time,"&gt;="&amp;($C87+CONVERT(Variables!$C$12,"sec","day")),POS_Time,"&lt;="&amp;($D87-CONVERT(Variables!$C$12+1,"sec","day")),POS_Q,"&lt;="&amp;Variables!$C$11))</f>
        <v/>
      </c>
      <c r="H87" s="26" t="str">
        <f>IF($B87="","",AVERAGEIFS(POS_Long,POS_Time,"&gt;="&amp;($C87+CONVERT(Variables!$C$12,"sec","day")),POS_Time,"&lt;="&amp;($D87-CONVERT(Variables!$C$12+1,"sec","day")),POS_Q,"&lt;="&amp;Variables!$C$11))</f>
        <v/>
      </c>
      <c r="I87" s="30" t="str">
        <f>IF($B87="","",AVERAGEIFS(POS_elev,POS_Time,"&gt;="&amp;($C87+CONVERT(Variables!$C$12,"sec","day")),POS_Time,"&lt;="&amp;($D87-CONVERT(Variables!$C$12+1,"sec","day")),POS_Q,"&lt;="&amp;Variables!$C$11)-S87)</f>
        <v/>
      </c>
      <c r="J87" s="26" t="str">
        <f>IF($B87="","",'Rover CSV Data'!D87)</f>
        <v/>
      </c>
      <c r="K87" s="26" t="str">
        <f>IF($B87="","",'Rover CSV Data'!C87)</f>
        <v/>
      </c>
      <c r="L87" s="26" t="str">
        <f>IF($B87="","",'Rover CSV Data'!E87)</f>
        <v/>
      </c>
      <c r="M87" s="30" t="str">
        <f>IF($B87="","",AVERAGEIFS(sdn,POS_Time,"&gt;="&amp;($C87+CONVERT(Variables!$C$12,"sec","day")),POS_Time,"&lt;="&amp;($D87-CONVERT(Variables!$C$12+1,"sec","day")),POS_Q,"&lt;="&amp;Variables!$C$11))</f>
        <v/>
      </c>
      <c r="N87" s="31" t="str">
        <f>IF($B87="","",AVERAGEIFS(sde,POS_Time,"&gt;="&amp;($C87+CONVERT(Variables!$C$12,"sec","day")),POS_Time,"&lt;="&amp;($D87-CONVERT(Variables!$C$12+1,"sec","day")),POS_Q,"&lt;="&amp;Variables!$C$11))</f>
        <v/>
      </c>
      <c r="O87" s="31" t="str">
        <f>IF($B87="","",AVERAGEIFS(sdu,POS_Time,"&gt;="&amp;($C87+CONVERT(Variables!$C$12,"sec","day")),POS_Time,"&lt;="&amp;($D87-CONVERT(Variables!$C$12+1,"sec","day")),POS_Q,"&lt;="&amp;Variables!$C$11))</f>
        <v/>
      </c>
      <c r="P87" s="32" t="str">
        <f t="array" ref="P87">IF($B87="","",STDEV(IF(POS_Time&gt;=($C87+CONVERT(Variables!$C$12,"sec","day")),IF(POS_Time&lt;=($D87-CONVERT(Variables!$C$12+1,"sec","day")),IF(POS_Q&lt;=Variables!$C$11,POS_Lat)))))</f>
        <v/>
      </c>
      <c r="Q87" s="32" t="str">
        <f t="array" ref="Q87">IF($B87="","",STDEV(IF(POS_Time&gt;=($C87+CONVERT(Variables!$C$12,"sec","day")),IF(POS_Time&lt;=($D87-CONVERT(Variables!$C$12+1,"sec","day")),IF(POS_Q&lt;=Variables!$C$11,POS_Long)))))</f>
        <v/>
      </c>
      <c r="R87" s="32" t="str">
        <f t="array" ref="R87">IF($B87="","",STDEV(IF(POS_Time&gt;=($C87+CONVERT(Variables!$C$12,"sec","day")),IF(POS_Time&lt;=($D87-CONVERT(Variables!$C$12+1,"sec","day")),IF(POS_Q&lt;=Variables!$C$11,POS_elev)))))</f>
        <v/>
      </c>
      <c r="S87" s="30" t="str">
        <f>IF($B87="","",'Rover CSV Data'!K87)</f>
        <v/>
      </c>
      <c r="T87" s="26" t="str">
        <f>IF($B87="","",COUNTIFS(POS_Time,"&gt;="&amp;($C87+CONVERT(Variables!$C$12,"sec","day")),POS_Time,"&lt;="&amp;($D87-CONVERT(Variables!$C$12+1,"sec","day")),POS_Q,"&lt;="&amp;Variables!$C$11))</f>
        <v/>
      </c>
      <c r="U87" s="26" t="str">
        <f>IF($B87="","",IF(1&gt;Variables!$C$11,0,COUNTIFS(POS_Time,"&gt;="&amp;($C87+CONVERT(Variables!$C$12,"sec","day")),POS_Time,"&lt;="&amp;($D87-CONVERT(Variables!$C$12+1,"sec","day")),POS_Q,"=1")))</f>
        <v/>
      </c>
      <c r="V87" s="26" t="str">
        <f>IF($B87="","",IF(2&gt;Variables!$C$11,0,COUNTIFS(POS_Time,"&gt;="&amp;($C87+CONVERT(Variables!$C$12,"sec","day")),POS_Time,"&lt;="&amp;($D87-CONVERT(Variables!$C$12+1,"sec","day")),POS_Q,"=2")))</f>
        <v/>
      </c>
      <c r="W87" s="26" t="str">
        <f>IF($B87="","",IF(3&gt;Variables!$C$11,0,COUNTIFS(POS_Time,"&gt;="&amp;($C87+CONVERT(Variables!$C$12,"sec","day")),POS_Time,"&lt;="&amp;($D87-CONVERT(Variables!$C$12+1,"sec","day")),POS_Q,"=3")))</f>
        <v/>
      </c>
      <c r="X87" s="26" t="str">
        <f>IF($B87="","",IF(4&gt;Variables!$C$11,0,COUNTIFS(POS_Time,"&gt;="&amp;($C87+CONVERT(Variables!$C$12,"sec","day")),POS_Time,"&lt;="&amp;($D87-CONVERT(Variables!$C$12+1,"sec","day")),POS_Q,"=4")))</f>
        <v/>
      </c>
      <c r="Y87" s="26" t="str">
        <f>IF($B87="","",IF(5&gt;Variables!$C$11,0,COUNTIFS(POS_Time,"&gt;="&amp;($C87+CONVERT(Variables!$C$12,"sec","day")),POS_Time,"&lt;="&amp;($D87-CONVERT(Variables!$C$12+1,"sec","day")),POS_Q,"=5")))</f>
        <v/>
      </c>
      <c r="Z87" s="26" t="str">
        <f>IF($B87="","",IF(6&gt;Variables!$C$11,0,COUNTIFS(POS_Time,"&gt;="&amp;($C87+CONVERT(Variables!$C$12,"sec","day")),POS_Time,"&lt;="&amp;($D87-CONVERT(Variables!$C$12+1,"sec","day")),POS_Q,"=6")))</f>
        <v/>
      </c>
    </row>
    <row r="88" spans="1:26" x14ac:dyDescent="0.25">
      <c r="A88" s="2">
        <v>87</v>
      </c>
      <c r="B88" s="27" t="str">
        <f>IF((ROW()-1)&lt;=RoverStations,'Rover CSV Data'!B88,"")</f>
        <v/>
      </c>
      <c r="C88" s="28" t="str">
        <f>IF($B88="","",DATEVALUE(LEFT('Rover CSV Data'!F88,FIND(" ",'Rover CSV Data'!F88)-1))+TIMEVALUE(MID('Rover CSV Data'!F88,LEN('Rover CSV Data'!F88)-FIND(" ",'Rover CSV Data'!F88),(FIND(" UTC",'Rover CSV Data'!F88))-(LEN('Rover CSV Data'!F88)-FIND(" ",'Rover CSV Data'!F88)))))</f>
        <v/>
      </c>
      <c r="D88" s="28" t="str">
        <f>IF($B88="","",DATEVALUE(LEFT('Rover CSV Data'!G88,FIND(" ",'Rover CSV Data'!G88)-1))+TIMEVALUE(MID('Rover CSV Data'!G88,LEN('Rover CSV Data'!G88)-FIND(" ",'Rover CSV Data'!G88),(FIND(" UTC",'Rover CSV Data'!G88))-(LEN('Rover CSV Data'!G88)-FIND(" ",'Rover CSV Data'!G88)))))</f>
        <v/>
      </c>
      <c r="E88" s="29" t="str">
        <f t="shared" si="2"/>
        <v/>
      </c>
      <c r="F88" s="26" t="str">
        <f>IF($B88="","",'Rover CSV Data'!J88)</f>
        <v/>
      </c>
      <c r="G88" s="26" t="str">
        <f>IF($B88="","",AVERAGEIFS(POS_Lat,POS_Time,"&gt;="&amp;($C88+CONVERT(Variables!$C$12,"sec","day")),POS_Time,"&lt;="&amp;($D88-CONVERT(Variables!$C$12+1,"sec","day")),POS_Q,"&lt;="&amp;Variables!$C$11))</f>
        <v/>
      </c>
      <c r="H88" s="26" t="str">
        <f>IF($B88="","",AVERAGEIFS(POS_Long,POS_Time,"&gt;="&amp;($C88+CONVERT(Variables!$C$12,"sec","day")),POS_Time,"&lt;="&amp;($D88-CONVERT(Variables!$C$12+1,"sec","day")),POS_Q,"&lt;="&amp;Variables!$C$11))</f>
        <v/>
      </c>
      <c r="I88" s="30" t="str">
        <f>IF($B88="","",AVERAGEIFS(POS_elev,POS_Time,"&gt;="&amp;($C88+CONVERT(Variables!$C$12,"sec","day")),POS_Time,"&lt;="&amp;($D88-CONVERT(Variables!$C$12+1,"sec","day")),POS_Q,"&lt;="&amp;Variables!$C$11)-S88)</f>
        <v/>
      </c>
      <c r="J88" s="26" t="str">
        <f>IF($B88="","",'Rover CSV Data'!D88)</f>
        <v/>
      </c>
      <c r="K88" s="26" t="str">
        <f>IF($B88="","",'Rover CSV Data'!C88)</f>
        <v/>
      </c>
      <c r="L88" s="26" t="str">
        <f>IF($B88="","",'Rover CSV Data'!E88)</f>
        <v/>
      </c>
      <c r="M88" s="30" t="str">
        <f>IF($B88="","",AVERAGEIFS(sdn,POS_Time,"&gt;="&amp;($C88+CONVERT(Variables!$C$12,"sec","day")),POS_Time,"&lt;="&amp;($D88-CONVERT(Variables!$C$12+1,"sec","day")),POS_Q,"&lt;="&amp;Variables!$C$11))</f>
        <v/>
      </c>
      <c r="N88" s="31" t="str">
        <f>IF($B88="","",AVERAGEIFS(sde,POS_Time,"&gt;="&amp;($C88+CONVERT(Variables!$C$12,"sec","day")),POS_Time,"&lt;="&amp;($D88-CONVERT(Variables!$C$12+1,"sec","day")),POS_Q,"&lt;="&amp;Variables!$C$11))</f>
        <v/>
      </c>
      <c r="O88" s="31" t="str">
        <f>IF($B88="","",AVERAGEIFS(sdu,POS_Time,"&gt;="&amp;($C88+CONVERT(Variables!$C$12,"sec","day")),POS_Time,"&lt;="&amp;($D88-CONVERT(Variables!$C$12+1,"sec","day")),POS_Q,"&lt;="&amp;Variables!$C$11))</f>
        <v/>
      </c>
      <c r="P88" s="32" t="str">
        <f t="array" ref="P88">IF($B88="","",STDEV(IF(POS_Time&gt;=($C88+CONVERT(Variables!$C$12,"sec","day")),IF(POS_Time&lt;=($D88-CONVERT(Variables!$C$12+1,"sec","day")),IF(POS_Q&lt;=Variables!$C$11,POS_Lat)))))</f>
        <v/>
      </c>
      <c r="Q88" s="32" t="str">
        <f t="array" ref="Q88">IF($B88="","",STDEV(IF(POS_Time&gt;=($C88+CONVERT(Variables!$C$12,"sec","day")),IF(POS_Time&lt;=($D88-CONVERT(Variables!$C$12+1,"sec","day")),IF(POS_Q&lt;=Variables!$C$11,POS_Long)))))</f>
        <v/>
      </c>
      <c r="R88" s="32" t="str">
        <f t="array" ref="R88">IF($B88="","",STDEV(IF(POS_Time&gt;=($C88+CONVERT(Variables!$C$12,"sec","day")),IF(POS_Time&lt;=($D88-CONVERT(Variables!$C$12+1,"sec","day")),IF(POS_Q&lt;=Variables!$C$11,POS_elev)))))</f>
        <v/>
      </c>
      <c r="S88" s="30" t="str">
        <f>IF($B88="","",'Rover CSV Data'!K88)</f>
        <v/>
      </c>
      <c r="T88" s="26" t="str">
        <f>IF($B88="","",COUNTIFS(POS_Time,"&gt;="&amp;($C88+CONVERT(Variables!$C$12,"sec","day")),POS_Time,"&lt;="&amp;($D88-CONVERT(Variables!$C$12+1,"sec","day")),POS_Q,"&lt;="&amp;Variables!$C$11))</f>
        <v/>
      </c>
      <c r="U88" s="26" t="str">
        <f>IF($B88="","",IF(1&gt;Variables!$C$11,0,COUNTIFS(POS_Time,"&gt;="&amp;($C88+CONVERT(Variables!$C$12,"sec","day")),POS_Time,"&lt;="&amp;($D88-CONVERT(Variables!$C$12+1,"sec","day")),POS_Q,"=1")))</f>
        <v/>
      </c>
      <c r="V88" s="26" t="str">
        <f>IF($B88="","",IF(2&gt;Variables!$C$11,0,COUNTIFS(POS_Time,"&gt;="&amp;($C88+CONVERT(Variables!$C$12,"sec","day")),POS_Time,"&lt;="&amp;($D88-CONVERT(Variables!$C$12+1,"sec","day")),POS_Q,"=2")))</f>
        <v/>
      </c>
      <c r="W88" s="26" t="str">
        <f>IF($B88="","",IF(3&gt;Variables!$C$11,0,COUNTIFS(POS_Time,"&gt;="&amp;($C88+CONVERT(Variables!$C$12,"sec","day")),POS_Time,"&lt;="&amp;($D88-CONVERT(Variables!$C$12+1,"sec","day")),POS_Q,"=3")))</f>
        <v/>
      </c>
      <c r="X88" s="26" t="str">
        <f>IF($B88="","",IF(4&gt;Variables!$C$11,0,COUNTIFS(POS_Time,"&gt;="&amp;($C88+CONVERT(Variables!$C$12,"sec","day")),POS_Time,"&lt;="&amp;($D88-CONVERT(Variables!$C$12+1,"sec","day")),POS_Q,"=4")))</f>
        <v/>
      </c>
      <c r="Y88" s="26" t="str">
        <f>IF($B88="","",IF(5&gt;Variables!$C$11,0,COUNTIFS(POS_Time,"&gt;="&amp;($C88+CONVERT(Variables!$C$12,"sec","day")),POS_Time,"&lt;="&amp;($D88-CONVERT(Variables!$C$12+1,"sec","day")),POS_Q,"=5")))</f>
        <v/>
      </c>
      <c r="Z88" s="26" t="str">
        <f>IF($B88="","",IF(6&gt;Variables!$C$11,0,COUNTIFS(POS_Time,"&gt;="&amp;($C88+CONVERT(Variables!$C$12,"sec","day")),POS_Time,"&lt;="&amp;($D88-CONVERT(Variables!$C$12+1,"sec","day")),POS_Q,"=6")))</f>
        <v/>
      </c>
    </row>
    <row r="89" spans="1:26" x14ac:dyDescent="0.25">
      <c r="A89" s="2">
        <v>88</v>
      </c>
      <c r="B89" s="27" t="str">
        <f>IF((ROW()-1)&lt;=RoverStations,'Rover CSV Data'!B89,"")</f>
        <v/>
      </c>
      <c r="C89" s="28" t="str">
        <f>IF($B89="","",DATEVALUE(LEFT('Rover CSV Data'!F89,FIND(" ",'Rover CSV Data'!F89)-1))+TIMEVALUE(MID('Rover CSV Data'!F89,LEN('Rover CSV Data'!F89)-FIND(" ",'Rover CSV Data'!F89),(FIND(" UTC",'Rover CSV Data'!F89))-(LEN('Rover CSV Data'!F89)-FIND(" ",'Rover CSV Data'!F89)))))</f>
        <v/>
      </c>
      <c r="D89" s="28" t="str">
        <f>IF($B89="","",DATEVALUE(LEFT('Rover CSV Data'!G89,FIND(" ",'Rover CSV Data'!G89)-1))+TIMEVALUE(MID('Rover CSV Data'!G89,LEN('Rover CSV Data'!G89)-FIND(" ",'Rover CSV Data'!G89),(FIND(" UTC",'Rover CSV Data'!G89))-(LEN('Rover CSV Data'!G89)-FIND(" ",'Rover CSV Data'!G89)))))</f>
        <v/>
      </c>
      <c r="E89" s="29" t="str">
        <f t="shared" si="2"/>
        <v/>
      </c>
      <c r="F89" s="26" t="str">
        <f>IF($B89="","",'Rover CSV Data'!J89)</f>
        <v/>
      </c>
      <c r="G89" s="26" t="str">
        <f>IF($B89="","",AVERAGEIFS(POS_Lat,POS_Time,"&gt;="&amp;($C89+CONVERT(Variables!$C$12,"sec","day")),POS_Time,"&lt;="&amp;($D89-CONVERT(Variables!$C$12+1,"sec","day")),POS_Q,"&lt;="&amp;Variables!$C$11))</f>
        <v/>
      </c>
      <c r="H89" s="26" t="str">
        <f>IF($B89="","",AVERAGEIFS(POS_Long,POS_Time,"&gt;="&amp;($C89+CONVERT(Variables!$C$12,"sec","day")),POS_Time,"&lt;="&amp;($D89-CONVERT(Variables!$C$12+1,"sec","day")),POS_Q,"&lt;="&amp;Variables!$C$11))</f>
        <v/>
      </c>
      <c r="I89" s="30" t="str">
        <f>IF($B89="","",AVERAGEIFS(POS_elev,POS_Time,"&gt;="&amp;($C89+CONVERT(Variables!$C$12,"sec","day")),POS_Time,"&lt;="&amp;($D89-CONVERT(Variables!$C$12+1,"sec","day")),POS_Q,"&lt;="&amp;Variables!$C$11)-S89)</f>
        <v/>
      </c>
      <c r="J89" s="26" t="str">
        <f>IF($B89="","",'Rover CSV Data'!D89)</f>
        <v/>
      </c>
      <c r="K89" s="26" t="str">
        <f>IF($B89="","",'Rover CSV Data'!C89)</f>
        <v/>
      </c>
      <c r="L89" s="26" t="str">
        <f>IF($B89="","",'Rover CSV Data'!E89)</f>
        <v/>
      </c>
      <c r="M89" s="30" t="str">
        <f>IF($B89="","",AVERAGEIFS(sdn,POS_Time,"&gt;="&amp;($C89+CONVERT(Variables!$C$12,"sec","day")),POS_Time,"&lt;="&amp;($D89-CONVERT(Variables!$C$12+1,"sec","day")),POS_Q,"&lt;="&amp;Variables!$C$11))</f>
        <v/>
      </c>
      <c r="N89" s="31" t="str">
        <f>IF($B89="","",AVERAGEIFS(sde,POS_Time,"&gt;="&amp;($C89+CONVERT(Variables!$C$12,"sec","day")),POS_Time,"&lt;="&amp;($D89-CONVERT(Variables!$C$12+1,"sec","day")),POS_Q,"&lt;="&amp;Variables!$C$11))</f>
        <v/>
      </c>
      <c r="O89" s="31" t="str">
        <f>IF($B89="","",AVERAGEIFS(sdu,POS_Time,"&gt;="&amp;($C89+CONVERT(Variables!$C$12,"sec","day")),POS_Time,"&lt;="&amp;($D89-CONVERT(Variables!$C$12+1,"sec","day")),POS_Q,"&lt;="&amp;Variables!$C$11))</f>
        <v/>
      </c>
      <c r="P89" s="32" t="str">
        <f t="array" ref="P89">IF($B89="","",STDEV(IF(POS_Time&gt;=($C89+CONVERT(Variables!$C$12,"sec","day")),IF(POS_Time&lt;=($D89-CONVERT(Variables!$C$12+1,"sec","day")),IF(POS_Q&lt;=Variables!$C$11,POS_Lat)))))</f>
        <v/>
      </c>
      <c r="Q89" s="32" t="str">
        <f t="array" ref="Q89">IF($B89="","",STDEV(IF(POS_Time&gt;=($C89+CONVERT(Variables!$C$12,"sec","day")),IF(POS_Time&lt;=($D89-CONVERT(Variables!$C$12+1,"sec","day")),IF(POS_Q&lt;=Variables!$C$11,POS_Long)))))</f>
        <v/>
      </c>
      <c r="R89" s="32" t="str">
        <f t="array" ref="R89">IF($B89="","",STDEV(IF(POS_Time&gt;=($C89+CONVERT(Variables!$C$12,"sec","day")),IF(POS_Time&lt;=($D89-CONVERT(Variables!$C$12+1,"sec","day")),IF(POS_Q&lt;=Variables!$C$11,POS_elev)))))</f>
        <v/>
      </c>
      <c r="S89" s="30" t="str">
        <f>IF($B89="","",'Rover CSV Data'!K89)</f>
        <v/>
      </c>
      <c r="T89" s="26" t="str">
        <f>IF($B89="","",COUNTIFS(POS_Time,"&gt;="&amp;($C89+CONVERT(Variables!$C$12,"sec","day")),POS_Time,"&lt;="&amp;($D89-CONVERT(Variables!$C$12+1,"sec","day")),POS_Q,"&lt;="&amp;Variables!$C$11))</f>
        <v/>
      </c>
      <c r="U89" s="26" t="str">
        <f>IF($B89="","",IF(1&gt;Variables!$C$11,0,COUNTIFS(POS_Time,"&gt;="&amp;($C89+CONVERT(Variables!$C$12,"sec","day")),POS_Time,"&lt;="&amp;($D89-CONVERT(Variables!$C$12+1,"sec","day")),POS_Q,"=1")))</f>
        <v/>
      </c>
      <c r="V89" s="26" t="str">
        <f>IF($B89="","",IF(2&gt;Variables!$C$11,0,COUNTIFS(POS_Time,"&gt;="&amp;($C89+CONVERT(Variables!$C$12,"sec","day")),POS_Time,"&lt;="&amp;($D89-CONVERT(Variables!$C$12+1,"sec","day")),POS_Q,"=2")))</f>
        <v/>
      </c>
      <c r="W89" s="26" t="str">
        <f>IF($B89="","",IF(3&gt;Variables!$C$11,0,COUNTIFS(POS_Time,"&gt;="&amp;($C89+CONVERT(Variables!$C$12,"sec","day")),POS_Time,"&lt;="&amp;($D89-CONVERT(Variables!$C$12+1,"sec","day")),POS_Q,"=3")))</f>
        <v/>
      </c>
      <c r="X89" s="26" t="str">
        <f>IF($B89="","",IF(4&gt;Variables!$C$11,0,COUNTIFS(POS_Time,"&gt;="&amp;($C89+CONVERT(Variables!$C$12,"sec","day")),POS_Time,"&lt;="&amp;($D89-CONVERT(Variables!$C$12+1,"sec","day")),POS_Q,"=4")))</f>
        <v/>
      </c>
      <c r="Y89" s="26" t="str">
        <f>IF($B89="","",IF(5&gt;Variables!$C$11,0,COUNTIFS(POS_Time,"&gt;="&amp;($C89+CONVERT(Variables!$C$12,"sec","day")),POS_Time,"&lt;="&amp;($D89-CONVERT(Variables!$C$12+1,"sec","day")),POS_Q,"=5")))</f>
        <v/>
      </c>
      <c r="Z89" s="26" t="str">
        <f>IF($B89="","",IF(6&gt;Variables!$C$11,0,COUNTIFS(POS_Time,"&gt;="&amp;($C89+CONVERT(Variables!$C$12,"sec","day")),POS_Time,"&lt;="&amp;($D89-CONVERT(Variables!$C$12+1,"sec","day")),POS_Q,"=6")))</f>
        <v/>
      </c>
    </row>
    <row r="90" spans="1:26" x14ac:dyDescent="0.25">
      <c r="A90" s="2">
        <v>89</v>
      </c>
      <c r="B90" s="27" t="str">
        <f>IF((ROW()-1)&lt;=RoverStations,'Rover CSV Data'!B90,"")</f>
        <v/>
      </c>
      <c r="C90" s="28" t="str">
        <f>IF($B90="","",DATEVALUE(LEFT('Rover CSV Data'!F90,FIND(" ",'Rover CSV Data'!F90)-1))+TIMEVALUE(MID('Rover CSV Data'!F90,LEN('Rover CSV Data'!F90)-FIND(" ",'Rover CSV Data'!F90),(FIND(" UTC",'Rover CSV Data'!F90))-(LEN('Rover CSV Data'!F90)-FIND(" ",'Rover CSV Data'!F90)))))</f>
        <v/>
      </c>
      <c r="D90" s="28" t="str">
        <f>IF($B90="","",DATEVALUE(LEFT('Rover CSV Data'!G90,FIND(" ",'Rover CSV Data'!G90)-1))+TIMEVALUE(MID('Rover CSV Data'!G90,LEN('Rover CSV Data'!G90)-FIND(" ",'Rover CSV Data'!G90),(FIND(" UTC",'Rover CSV Data'!G90))-(LEN('Rover CSV Data'!G90)-FIND(" ",'Rover CSV Data'!G90)))))</f>
        <v/>
      </c>
      <c r="E90" s="29" t="str">
        <f t="shared" si="2"/>
        <v/>
      </c>
      <c r="F90" s="26" t="str">
        <f>IF($B90="","",'Rover CSV Data'!J90)</f>
        <v/>
      </c>
      <c r="G90" s="26" t="str">
        <f>IF($B90="","",AVERAGEIFS(POS_Lat,POS_Time,"&gt;="&amp;($C90+CONVERT(Variables!$C$12,"sec","day")),POS_Time,"&lt;="&amp;($D90-CONVERT(Variables!$C$12+1,"sec","day")),POS_Q,"&lt;="&amp;Variables!$C$11))</f>
        <v/>
      </c>
      <c r="H90" s="26" t="str">
        <f>IF($B90="","",AVERAGEIFS(POS_Long,POS_Time,"&gt;="&amp;($C90+CONVERT(Variables!$C$12,"sec","day")),POS_Time,"&lt;="&amp;($D90-CONVERT(Variables!$C$12+1,"sec","day")),POS_Q,"&lt;="&amp;Variables!$C$11))</f>
        <v/>
      </c>
      <c r="I90" s="30" t="str">
        <f>IF($B90="","",AVERAGEIFS(POS_elev,POS_Time,"&gt;="&amp;($C90+CONVERT(Variables!$C$12,"sec","day")),POS_Time,"&lt;="&amp;($D90-CONVERT(Variables!$C$12+1,"sec","day")),POS_Q,"&lt;="&amp;Variables!$C$11)-S90)</f>
        <v/>
      </c>
      <c r="J90" s="26" t="str">
        <f>IF($B90="","",'Rover CSV Data'!D90)</f>
        <v/>
      </c>
      <c r="K90" s="26" t="str">
        <f>IF($B90="","",'Rover CSV Data'!C90)</f>
        <v/>
      </c>
      <c r="L90" s="26" t="str">
        <f>IF($B90="","",'Rover CSV Data'!E90)</f>
        <v/>
      </c>
      <c r="M90" s="30" t="str">
        <f>IF($B90="","",AVERAGEIFS(sdn,POS_Time,"&gt;="&amp;($C90+CONVERT(Variables!$C$12,"sec","day")),POS_Time,"&lt;="&amp;($D90-CONVERT(Variables!$C$12+1,"sec","day")),POS_Q,"&lt;="&amp;Variables!$C$11))</f>
        <v/>
      </c>
      <c r="N90" s="31" t="str">
        <f>IF($B90="","",AVERAGEIFS(sde,POS_Time,"&gt;="&amp;($C90+CONVERT(Variables!$C$12,"sec","day")),POS_Time,"&lt;="&amp;($D90-CONVERT(Variables!$C$12+1,"sec","day")),POS_Q,"&lt;="&amp;Variables!$C$11))</f>
        <v/>
      </c>
      <c r="O90" s="31" t="str">
        <f>IF($B90="","",AVERAGEIFS(sdu,POS_Time,"&gt;="&amp;($C90+CONVERT(Variables!$C$12,"sec","day")),POS_Time,"&lt;="&amp;($D90-CONVERT(Variables!$C$12+1,"sec","day")),POS_Q,"&lt;="&amp;Variables!$C$11))</f>
        <v/>
      </c>
      <c r="P90" s="32" t="str">
        <f t="array" ref="P90">IF($B90="","",STDEV(IF(POS_Time&gt;=($C90+CONVERT(Variables!$C$12,"sec","day")),IF(POS_Time&lt;=($D90-CONVERT(Variables!$C$12+1,"sec","day")),IF(POS_Q&lt;=Variables!$C$11,POS_Lat)))))</f>
        <v/>
      </c>
      <c r="Q90" s="32" t="str">
        <f t="array" ref="Q90">IF($B90="","",STDEV(IF(POS_Time&gt;=($C90+CONVERT(Variables!$C$12,"sec","day")),IF(POS_Time&lt;=($D90-CONVERT(Variables!$C$12+1,"sec","day")),IF(POS_Q&lt;=Variables!$C$11,POS_Long)))))</f>
        <v/>
      </c>
      <c r="R90" s="32" t="str">
        <f t="array" ref="R90">IF($B90="","",STDEV(IF(POS_Time&gt;=($C90+CONVERT(Variables!$C$12,"sec","day")),IF(POS_Time&lt;=($D90-CONVERT(Variables!$C$12+1,"sec","day")),IF(POS_Q&lt;=Variables!$C$11,POS_elev)))))</f>
        <v/>
      </c>
      <c r="S90" s="30" t="str">
        <f>IF($B90="","",'Rover CSV Data'!K90)</f>
        <v/>
      </c>
      <c r="T90" s="26" t="str">
        <f>IF($B90="","",COUNTIFS(POS_Time,"&gt;="&amp;($C90+CONVERT(Variables!$C$12,"sec","day")),POS_Time,"&lt;="&amp;($D90-CONVERT(Variables!$C$12+1,"sec","day")),POS_Q,"&lt;="&amp;Variables!$C$11))</f>
        <v/>
      </c>
      <c r="U90" s="26" t="str">
        <f>IF($B90="","",IF(1&gt;Variables!$C$11,0,COUNTIFS(POS_Time,"&gt;="&amp;($C90+CONVERT(Variables!$C$12,"sec","day")),POS_Time,"&lt;="&amp;($D90-CONVERT(Variables!$C$12+1,"sec","day")),POS_Q,"=1")))</f>
        <v/>
      </c>
      <c r="V90" s="26" t="str">
        <f>IF($B90="","",IF(2&gt;Variables!$C$11,0,COUNTIFS(POS_Time,"&gt;="&amp;($C90+CONVERT(Variables!$C$12,"sec","day")),POS_Time,"&lt;="&amp;($D90-CONVERT(Variables!$C$12+1,"sec","day")),POS_Q,"=2")))</f>
        <v/>
      </c>
      <c r="W90" s="26" t="str">
        <f>IF($B90="","",IF(3&gt;Variables!$C$11,0,COUNTIFS(POS_Time,"&gt;="&amp;($C90+CONVERT(Variables!$C$12,"sec","day")),POS_Time,"&lt;="&amp;($D90-CONVERT(Variables!$C$12+1,"sec","day")),POS_Q,"=3")))</f>
        <v/>
      </c>
      <c r="X90" s="26" t="str">
        <f>IF($B90="","",IF(4&gt;Variables!$C$11,0,COUNTIFS(POS_Time,"&gt;="&amp;($C90+CONVERT(Variables!$C$12,"sec","day")),POS_Time,"&lt;="&amp;($D90-CONVERT(Variables!$C$12+1,"sec","day")),POS_Q,"=4")))</f>
        <v/>
      </c>
      <c r="Y90" s="26" t="str">
        <f>IF($B90="","",IF(5&gt;Variables!$C$11,0,COUNTIFS(POS_Time,"&gt;="&amp;($C90+CONVERT(Variables!$C$12,"sec","day")),POS_Time,"&lt;="&amp;($D90-CONVERT(Variables!$C$12+1,"sec","day")),POS_Q,"=5")))</f>
        <v/>
      </c>
      <c r="Z90" s="26" t="str">
        <f>IF($B90="","",IF(6&gt;Variables!$C$11,0,COUNTIFS(POS_Time,"&gt;="&amp;($C90+CONVERT(Variables!$C$12,"sec","day")),POS_Time,"&lt;="&amp;($D90-CONVERT(Variables!$C$12+1,"sec","day")),POS_Q,"=6")))</f>
        <v/>
      </c>
    </row>
    <row r="91" spans="1:26" x14ac:dyDescent="0.25">
      <c r="A91" s="2">
        <v>90</v>
      </c>
      <c r="B91" s="27" t="str">
        <f>IF((ROW()-1)&lt;=RoverStations,'Rover CSV Data'!B91,"")</f>
        <v/>
      </c>
      <c r="C91" s="28" t="str">
        <f>IF($B91="","",DATEVALUE(LEFT('Rover CSV Data'!F91,FIND(" ",'Rover CSV Data'!F91)-1))+TIMEVALUE(MID('Rover CSV Data'!F91,LEN('Rover CSV Data'!F91)-FIND(" ",'Rover CSV Data'!F91),(FIND(" UTC",'Rover CSV Data'!F91))-(LEN('Rover CSV Data'!F91)-FIND(" ",'Rover CSV Data'!F91)))))</f>
        <v/>
      </c>
      <c r="D91" s="28" t="str">
        <f>IF($B91="","",DATEVALUE(LEFT('Rover CSV Data'!G91,FIND(" ",'Rover CSV Data'!G91)-1))+TIMEVALUE(MID('Rover CSV Data'!G91,LEN('Rover CSV Data'!G91)-FIND(" ",'Rover CSV Data'!G91),(FIND(" UTC",'Rover CSV Data'!G91))-(LEN('Rover CSV Data'!G91)-FIND(" ",'Rover CSV Data'!G91)))))</f>
        <v/>
      </c>
      <c r="E91" s="29" t="str">
        <f t="shared" si="2"/>
        <v/>
      </c>
      <c r="F91" s="26" t="str">
        <f>IF($B91="","",'Rover CSV Data'!J91)</f>
        <v/>
      </c>
      <c r="G91" s="26" t="str">
        <f>IF($B91="","",AVERAGEIFS(POS_Lat,POS_Time,"&gt;="&amp;($C91+CONVERT(Variables!$C$12,"sec","day")),POS_Time,"&lt;="&amp;($D91-CONVERT(Variables!$C$12+1,"sec","day")),POS_Q,"&lt;="&amp;Variables!$C$11))</f>
        <v/>
      </c>
      <c r="H91" s="26" t="str">
        <f>IF($B91="","",AVERAGEIFS(POS_Long,POS_Time,"&gt;="&amp;($C91+CONVERT(Variables!$C$12,"sec","day")),POS_Time,"&lt;="&amp;($D91-CONVERT(Variables!$C$12+1,"sec","day")),POS_Q,"&lt;="&amp;Variables!$C$11))</f>
        <v/>
      </c>
      <c r="I91" s="30" t="str">
        <f>IF($B91="","",AVERAGEIFS(POS_elev,POS_Time,"&gt;="&amp;($C91+CONVERT(Variables!$C$12,"sec","day")),POS_Time,"&lt;="&amp;($D91-CONVERT(Variables!$C$12+1,"sec","day")),POS_Q,"&lt;="&amp;Variables!$C$11)-S91)</f>
        <v/>
      </c>
      <c r="J91" s="26" t="str">
        <f>IF($B91="","",'Rover CSV Data'!D91)</f>
        <v/>
      </c>
      <c r="K91" s="26" t="str">
        <f>IF($B91="","",'Rover CSV Data'!C91)</f>
        <v/>
      </c>
      <c r="L91" s="26" t="str">
        <f>IF($B91="","",'Rover CSV Data'!E91)</f>
        <v/>
      </c>
      <c r="M91" s="30" t="str">
        <f>IF($B91="","",AVERAGEIFS(sdn,POS_Time,"&gt;="&amp;($C91+CONVERT(Variables!$C$12,"sec","day")),POS_Time,"&lt;="&amp;($D91-CONVERT(Variables!$C$12+1,"sec","day")),POS_Q,"&lt;="&amp;Variables!$C$11))</f>
        <v/>
      </c>
      <c r="N91" s="31" t="str">
        <f>IF($B91="","",AVERAGEIFS(sde,POS_Time,"&gt;="&amp;($C91+CONVERT(Variables!$C$12,"sec","day")),POS_Time,"&lt;="&amp;($D91-CONVERT(Variables!$C$12+1,"sec","day")),POS_Q,"&lt;="&amp;Variables!$C$11))</f>
        <v/>
      </c>
      <c r="O91" s="31" t="str">
        <f>IF($B91="","",AVERAGEIFS(sdu,POS_Time,"&gt;="&amp;($C91+CONVERT(Variables!$C$12,"sec","day")),POS_Time,"&lt;="&amp;($D91-CONVERT(Variables!$C$12+1,"sec","day")),POS_Q,"&lt;="&amp;Variables!$C$11))</f>
        <v/>
      </c>
      <c r="P91" s="32" t="str">
        <f t="array" ref="P91">IF($B91="","",STDEV(IF(POS_Time&gt;=($C91+CONVERT(Variables!$C$12,"sec","day")),IF(POS_Time&lt;=($D91-CONVERT(Variables!$C$12+1,"sec","day")),IF(POS_Q&lt;=Variables!$C$11,POS_Lat)))))</f>
        <v/>
      </c>
      <c r="Q91" s="32" t="str">
        <f t="array" ref="Q91">IF($B91="","",STDEV(IF(POS_Time&gt;=($C91+CONVERT(Variables!$C$12,"sec","day")),IF(POS_Time&lt;=($D91-CONVERT(Variables!$C$12+1,"sec","day")),IF(POS_Q&lt;=Variables!$C$11,POS_Long)))))</f>
        <v/>
      </c>
      <c r="R91" s="32" t="str">
        <f t="array" ref="R91">IF($B91="","",STDEV(IF(POS_Time&gt;=($C91+CONVERT(Variables!$C$12,"sec","day")),IF(POS_Time&lt;=($D91-CONVERT(Variables!$C$12+1,"sec","day")),IF(POS_Q&lt;=Variables!$C$11,POS_elev)))))</f>
        <v/>
      </c>
      <c r="S91" s="30" t="str">
        <f>IF($B91="","",'Rover CSV Data'!K91)</f>
        <v/>
      </c>
      <c r="T91" s="26" t="str">
        <f>IF($B91="","",COUNTIFS(POS_Time,"&gt;="&amp;($C91+CONVERT(Variables!$C$12,"sec","day")),POS_Time,"&lt;="&amp;($D91-CONVERT(Variables!$C$12+1,"sec","day")),POS_Q,"&lt;="&amp;Variables!$C$11))</f>
        <v/>
      </c>
      <c r="U91" s="26" t="str">
        <f>IF($B91="","",IF(1&gt;Variables!$C$11,0,COUNTIFS(POS_Time,"&gt;="&amp;($C91+CONVERT(Variables!$C$12,"sec","day")),POS_Time,"&lt;="&amp;($D91-CONVERT(Variables!$C$12+1,"sec","day")),POS_Q,"=1")))</f>
        <v/>
      </c>
      <c r="V91" s="26" t="str">
        <f>IF($B91="","",IF(2&gt;Variables!$C$11,0,COUNTIFS(POS_Time,"&gt;="&amp;($C91+CONVERT(Variables!$C$12,"sec","day")),POS_Time,"&lt;="&amp;($D91-CONVERT(Variables!$C$12+1,"sec","day")),POS_Q,"=2")))</f>
        <v/>
      </c>
      <c r="W91" s="26" t="str">
        <f>IF($B91="","",IF(3&gt;Variables!$C$11,0,COUNTIFS(POS_Time,"&gt;="&amp;($C91+CONVERT(Variables!$C$12,"sec","day")),POS_Time,"&lt;="&amp;($D91-CONVERT(Variables!$C$12+1,"sec","day")),POS_Q,"=3")))</f>
        <v/>
      </c>
      <c r="X91" s="26" t="str">
        <f>IF($B91="","",IF(4&gt;Variables!$C$11,0,COUNTIFS(POS_Time,"&gt;="&amp;($C91+CONVERT(Variables!$C$12,"sec","day")),POS_Time,"&lt;="&amp;($D91-CONVERT(Variables!$C$12+1,"sec","day")),POS_Q,"=4")))</f>
        <v/>
      </c>
      <c r="Y91" s="26" t="str">
        <f>IF($B91="","",IF(5&gt;Variables!$C$11,0,COUNTIFS(POS_Time,"&gt;="&amp;($C91+CONVERT(Variables!$C$12,"sec","day")),POS_Time,"&lt;="&amp;($D91-CONVERT(Variables!$C$12+1,"sec","day")),POS_Q,"=5")))</f>
        <v/>
      </c>
      <c r="Z91" s="26" t="str">
        <f>IF($B91="","",IF(6&gt;Variables!$C$11,0,COUNTIFS(POS_Time,"&gt;="&amp;($C91+CONVERT(Variables!$C$12,"sec","day")),POS_Time,"&lt;="&amp;($D91-CONVERT(Variables!$C$12+1,"sec","day")),POS_Q,"=6")))</f>
        <v/>
      </c>
    </row>
    <row r="92" spans="1:26" x14ac:dyDescent="0.25">
      <c r="A92" s="2">
        <v>91</v>
      </c>
      <c r="B92" s="27" t="str">
        <f>IF((ROW()-1)&lt;=RoverStations,'Rover CSV Data'!B92,"")</f>
        <v/>
      </c>
      <c r="C92" s="28" t="str">
        <f>IF($B92="","",DATEVALUE(LEFT('Rover CSV Data'!F92,FIND(" ",'Rover CSV Data'!F92)-1))+TIMEVALUE(MID('Rover CSV Data'!F92,LEN('Rover CSV Data'!F92)-FIND(" ",'Rover CSV Data'!F92),(FIND(" UTC",'Rover CSV Data'!F92))-(LEN('Rover CSV Data'!F92)-FIND(" ",'Rover CSV Data'!F92)))))</f>
        <v/>
      </c>
      <c r="D92" s="28" t="str">
        <f>IF($B92="","",DATEVALUE(LEFT('Rover CSV Data'!G92,FIND(" ",'Rover CSV Data'!G92)-1))+TIMEVALUE(MID('Rover CSV Data'!G92,LEN('Rover CSV Data'!G92)-FIND(" ",'Rover CSV Data'!G92),(FIND(" UTC",'Rover CSV Data'!G92))-(LEN('Rover CSV Data'!G92)-FIND(" ",'Rover CSV Data'!G92)))))</f>
        <v/>
      </c>
      <c r="E92" s="29" t="str">
        <f t="shared" si="2"/>
        <v/>
      </c>
      <c r="F92" s="26" t="str">
        <f>IF($B92="","",'Rover CSV Data'!J92)</f>
        <v/>
      </c>
      <c r="G92" s="26" t="str">
        <f>IF($B92="","",AVERAGEIFS(POS_Lat,POS_Time,"&gt;="&amp;($C92+CONVERT(Variables!$C$12,"sec","day")),POS_Time,"&lt;="&amp;($D92-CONVERT(Variables!$C$12+1,"sec","day")),POS_Q,"&lt;="&amp;Variables!$C$11))</f>
        <v/>
      </c>
      <c r="H92" s="26" t="str">
        <f>IF($B92="","",AVERAGEIFS(POS_Long,POS_Time,"&gt;="&amp;($C92+CONVERT(Variables!$C$12,"sec","day")),POS_Time,"&lt;="&amp;($D92-CONVERT(Variables!$C$12+1,"sec","day")),POS_Q,"&lt;="&amp;Variables!$C$11))</f>
        <v/>
      </c>
      <c r="I92" s="30" t="str">
        <f>IF($B92="","",AVERAGEIFS(POS_elev,POS_Time,"&gt;="&amp;($C92+CONVERT(Variables!$C$12,"sec","day")),POS_Time,"&lt;="&amp;($D92-CONVERT(Variables!$C$12+1,"sec","day")),POS_Q,"&lt;="&amp;Variables!$C$11)-S92)</f>
        <v/>
      </c>
      <c r="J92" s="26" t="str">
        <f>IF($B92="","",'Rover CSV Data'!D92)</f>
        <v/>
      </c>
      <c r="K92" s="26" t="str">
        <f>IF($B92="","",'Rover CSV Data'!C92)</f>
        <v/>
      </c>
      <c r="L92" s="26" t="str">
        <f>IF($B92="","",'Rover CSV Data'!E92)</f>
        <v/>
      </c>
      <c r="M92" s="30" t="str">
        <f>IF($B92="","",AVERAGEIFS(sdn,POS_Time,"&gt;="&amp;($C92+CONVERT(Variables!$C$12,"sec","day")),POS_Time,"&lt;="&amp;($D92-CONVERT(Variables!$C$12+1,"sec","day")),POS_Q,"&lt;="&amp;Variables!$C$11))</f>
        <v/>
      </c>
      <c r="N92" s="31" t="str">
        <f>IF($B92="","",AVERAGEIFS(sde,POS_Time,"&gt;="&amp;($C92+CONVERT(Variables!$C$12,"sec","day")),POS_Time,"&lt;="&amp;($D92-CONVERT(Variables!$C$12+1,"sec","day")),POS_Q,"&lt;="&amp;Variables!$C$11))</f>
        <v/>
      </c>
      <c r="O92" s="31" t="str">
        <f>IF($B92="","",AVERAGEIFS(sdu,POS_Time,"&gt;="&amp;($C92+CONVERT(Variables!$C$12,"sec","day")),POS_Time,"&lt;="&amp;($D92-CONVERT(Variables!$C$12+1,"sec","day")),POS_Q,"&lt;="&amp;Variables!$C$11))</f>
        <v/>
      </c>
      <c r="P92" s="32" t="str">
        <f t="array" ref="P92">IF($B92="","",STDEV(IF(POS_Time&gt;=($C92+CONVERT(Variables!$C$12,"sec","day")),IF(POS_Time&lt;=($D92-CONVERT(Variables!$C$12+1,"sec","day")),IF(POS_Q&lt;=Variables!$C$11,POS_Lat)))))</f>
        <v/>
      </c>
      <c r="Q92" s="32" t="str">
        <f t="array" ref="Q92">IF($B92="","",STDEV(IF(POS_Time&gt;=($C92+CONVERT(Variables!$C$12,"sec","day")),IF(POS_Time&lt;=($D92-CONVERT(Variables!$C$12+1,"sec","day")),IF(POS_Q&lt;=Variables!$C$11,POS_Long)))))</f>
        <v/>
      </c>
      <c r="R92" s="32" t="str">
        <f t="array" ref="R92">IF($B92="","",STDEV(IF(POS_Time&gt;=($C92+CONVERT(Variables!$C$12,"sec","day")),IF(POS_Time&lt;=($D92-CONVERT(Variables!$C$12+1,"sec","day")),IF(POS_Q&lt;=Variables!$C$11,POS_elev)))))</f>
        <v/>
      </c>
      <c r="S92" s="30" t="str">
        <f>IF($B92="","",'Rover CSV Data'!K92)</f>
        <v/>
      </c>
      <c r="T92" s="26" t="str">
        <f>IF($B92="","",COUNTIFS(POS_Time,"&gt;="&amp;($C92+CONVERT(Variables!$C$12,"sec","day")),POS_Time,"&lt;="&amp;($D92-CONVERT(Variables!$C$12+1,"sec","day")),POS_Q,"&lt;="&amp;Variables!$C$11))</f>
        <v/>
      </c>
      <c r="U92" s="26" t="str">
        <f>IF($B92="","",IF(1&gt;Variables!$C$11,0,COUNTIFS(POS_Time,"&gt;="&amp;($C92+CONVERT(Variables!$C$12,"sec","day")),POS_Time,"&lt;="&amp;($D92-CONVERT(Variables!$C$12+1,"sec","day")),POS_Q,"=1")))</f>
        <v/>
      </c>
      <c r="V92" s="26" t="str">
        <f>IF($B92="","",IF(2&gt;Variables!$C$11,0,COUNTIFS(POS_Time,"&gt;="&amp;($C92+CONVERT(Variables!$C$12,"sec","day")),POS_Time,"&lt;="&amp;($D92-CONVERT(Variables!$C$12+1,"sec","day")),POS_Q,"=2")))</f>
        <v/>
      </c>
      <c r="W92" s="26" t="str">
        <f>IF($B92="","",IF(3&gt;Variables!$C$11,0,COUNTIFS(POS_Time,"&gt;="&amp;($C92+CONVERT(Variables!$C$12,"sec","day")),POS_Time,"&lt;="&amp;($D92-CONVERT(Variables!$C$12+1,"sec","day")),POS_Q,"=3")))</f>
        <v/>
      </c>
      <c r="X92" s="26" t="str">
        <f>IF($B92="","",IF(4&gt;Variables!$C$11,0,COUNTIFS(POS_Time,"&gt;="&amp;($C92+CONVERT(Variables!$C$12,"sec","day")),POS_Time,"&lt;="&amp;($D92-CONVERT(Variables!$C$12+1,"sec","day")),POS_Q,"=4")))</f>
        <v/>
      </c>
      <c r="Y92" s="26" t="str">
        <f>IF($B92="","",IF(5&gt;Variables!$C$11,0,COUNTIFS(POS_Time,"&gt;="&amp;($C92+CONVERT(Variables!$C$12,"sec","day")),POS_Time,"&lt;="&amp;($D92-CONVERT(Variables!$C$12+1,"sec","day")),POS_Q,"=5")))</f>
        <v/>
      </c>
      <c r="Z92" s="26" t="str">
        <f>IF($B92="","",IF(6&gt;Variables!$C$11,0,COUNTIFS(POS_Time,"&gt;="&amp;($C92+CONVERT(Variables!$C$12,"sec","day")),POS_Time,"&lt;="&amp;($D92-CONVERT(Variables!$C$12+1,"sec","day")),POS_Q,"=6")))</f>
        <v/>
      </c>
    </row>
    <row r="93" spans="1:26" x14ac:dyDescent="0.25">
      <c r="A93" s="2">
        <v>92</v>
      </c>
      <c r="B93" s="27" t="str">
        <f>IF((ROW()-1)&lt;=RoverStations,'Rover CSV Data'!B93,"")</f>
        <v/>
      </c>
      <c r="C93" s="28" t="str">
        <f>IF($B93="","",DATEVALUE(LEFT('Rover CSV Data'!F93,FIND(" ",'Rover CSV Data'!F93)-1))+TIMEVALUE(MID('Rover CSV Data'!F93,LEN('Rover CSV Data'!F93)-FIND(" ",'Rover CSV Data'!F93),(FIND(" UTC",'Rover CSV Data'!F93))-(LEN('Rover CSV Data'!F93)-FIND(" ",'Rover CSV Data'!F93)))))</f>
        <v/>
      </c>
      <c r="D93" s="28" t="str">
        <f>IF($B93="","",DATEVALUE(LEFT('Rover CSV Data'!G93,FIND(" ",'Rover CSV Data'!G93)-1))+TIMEVALUE(MID('Rover CSV Data'!G93,LEN('Rover CSV Data'!G93)-FIND(" ",'Rover CSV Data'!G93),(FIND(" UTC",'Rover CSV Data'!G93))-(LEN('Rover CSV Data'!G93)-FIND(" ",'Rover CSV Data'!G93)))))</f>
        <v/>
      </c>
      <c r="E93" s="29" t="str">
        <f t="shared" si="2"/>
        <v/>
      </c>
      <c r="F93" s="26" t="str">
        <f>IF($B93="","",'Rover CSV Data'!J93)</f>
        <v/>
      </c>
      <c r="G93" s="26" t="str">
        <f>IF($B93="","",AVERAGEIFS(POS_Lat,POS_Time,"&gt;="&amp;($C93+CONVERT(Variables!$C$12,"sec","day")),POS_Time,"&lt;="&amp;($D93-CONVERT(Variables!$C$12+1,"sec","day")),POS_Q,"&lt;="&amp;Variables!$C$11))</f>
        <v/>
      </c>
      <c r="H93" s="26" t="str">
        <f>IF($B93="","",AVERAGEIFS(POS_Long,POS_Time,"&gt;="&amp;($C93+CONVERT(Variables!$C$12,"sec","day")),POS_Time,"&lt;="&amp;($D93-CONVERT(Variables!$C$12+1,"sec","day")),POS_Q,"&lt;="&amp;Variables!$C$11))</f>
        <v/>
      </c>
      <c r="I93" s="30" t="str">
        <f>IF($B93="","",AVERAGEIFS(POS_elev,POS_Time,"&gt;="&amp;($C93+CONVERT(Variables!$C$12,"sec","day")),POS_Time,"&lt;="&amp;($D93-CONVERT(Variables!$C$12+1,"sec","day")),POS_Q,"&lt;="&amp;Variables!$C$11)-S93)</f>
        <v/>
      </c>
      <c r="J93" s="26" t="str">
        <f>IF($B93="","",'Rover CSV Data'!D93)</f>
        <v/>
      </c>
      <c r="K93" s="26" t="str">
        <f>IF($B93="","",'Rover CSV Data'!C93)</f>
        <v/>
      </c>
      <c r="L93" s="26" t="str">
        <f>IF($B93="","",'Rover CSV Data'!E93)</f>
        <v/>
      </c>
      <c r="M93" s="30" t="str">
        <f>IF($B93="","",AVERAGEIFS(sdn,POS_Time,"&gt;="&amp;($C93+CONVERT(Variables!$C$12,"sec","day")),POS_Time,"&lt;="&amp;($D93-CONVERT(Variables!$C$12+1,"sec","day")),POS_Q,"&lt;="&amp;Variables!$C$11))</f>
        <v/>
      </c>
      <c r="N93" s="31" t="str">
        <f>IF($B93="","",AVERAGEIFS(sde,POS_Time,"&gt;="&amp;($C93+CONVERT(Variables!$C$12,"sec","day")),POS_Time,"&lt;="&amp;($D93-CONVERT(Variables!$C$12+1,"sec","day")),POS_Q,"&lt;="&amp;Variables!$C$11))</f>
        <v/>
      </c>
      <c r="O93" s="31" t="str">
        <f>IF($B93="","",AVERAGEIFS(sdu,POS_Time,"&gt;="&amp;($C93+CONVERT(Variables!$C$12,"sec","day")),POS_Time,"&lt;="&amp;($D93-CONVERT(Variables!$C$12+1,"sec","day")),POS_Q,"&lt;="&amp;Variables!$C$11))</f>
        <v/>
      </c>
      <c r="P93" s="32" t="str">
        <f t="array" ref="P93">IF($B93="","",STDEV(IF(POS_Time&gt;=($C93+CONVERT(Variables!$C$12,"sec","day")),IF(POS_Time&lt;=($D93-CONVERT(Variables!$C$12+1,"sec","day")),IF(POS_Q&lt;=Variables!$C$11,POS_Lat)))))</f>
        <v/>
      </c>
      <c r="Q93" s="32" t="str">
        <f t="array" ref="Q93">IF($B93="","",STDEV(IF(POS_Time&gt;=($C93+CONVERT(Variables!$C$12,"sec","day")),IF(POS_Time&lt;=($D93-CONVERT(Variables!$C$12+1,"sec","day")),IF(POS_Q&lt;=Variables!$C$11,POS_Long)))))</f>
        <v/>
      </c>
      <c r="R93" s="32" t="str">
        <f t="array" ref="R93">IF($B93="","",STDEV(IF(POS_Time&gt;=($C93+CONVERT(Variables!$C$12,"sec","day")),IF(POS_Time&lt;=($D93-CONVERT(Variables!$C$12+1,"sec","day")),IF(POS_Q&lt;=Variables!$C$11,POS_elev)))))</f>
        <v/>
      </c>
      <c r="S93" s="30" t="str">
        <f>IF($B93="","",'Rover CSV Data'!K93)</f>
        <v/>
      </c>
      <c r="T93" s="26" t="str">
        <f>IF($B93="","",COUNTIFS(POS_Time,"&gt;="&amp;($C93+CONVERT(Variables!$C$12,"sec","day")),POS_Time,"&lt;="&amp;($D93-CONVERT(Variables!$C$12+1,"sec","day")),POS_Q,"&lt;="&amp;Variables!$C$11))</f>
        <v/>
      </c>
      <c r="U93" s="26" t="str">
        <f>IF($B93="","",IF(1&gt;Variables!$C$11,0,COUNTIFS(POS_Time,"&gt;="&amp;($C93+CONVERT(Variables!$C$12,"sec","day")),POS_Time,"&lt;="&amp;($D93-CONVERT(Variables!$C$12+1,"sec","day")),POS_Q,"=1")))</f>
        <v/>
      </c>
      <c r="V93" s="26" t="str">
        <f>IF($B93="","",IF(2&gt;Variables!$C$11,0,COUNTIFS(POS_Time,"&gt;="&amp;($C93+CONVERT(Variables!$C$12,"sec","day")),POS_Time,"&lt;="&amp;($D93-CONVERT(Variables!$C$12+1,"sec","day")),POS_Q,"=2")))</f>
        <v/>
      </c>
      <c r="W93" s="26" t="str">
        <f>IF($B93="","",IF(3&gt;Variables!$C$11,0,COUNTIFS(POS_Time,"&gt;="&amp;($C93+CONVERT(Variables!$C$12,"sec","day")),POS_Time,"&lt;="&amp;($D93-CONVERT(Variables!$C$12+1,"sec","day")),POS_Q,"=3")))</f>
        <v/>
      </c>
      <c r="X93" s="26" t="str">
        <f>IF($B93="","",IF(4&gt;Variables!$C$11,0,COUNTIFS(POS_Time,"&gt;="&amp;($C93+CONVERT(Variables!$C$12,"sec","day")),POS_Time,"&lt;="&amp;($D93-CONVERT(Variables!$C$12+1,"sec","day")),POS_Q,"=4")))</f>
        <v/>
      </c>
      <c r="Y93" s="26" t="str">
        <f>IF($B93="","",IF(5&gt;Variables!$C$11,0,COUNTIFS(POS_Time,"&gt;="&amp;($C93+CONVERT(Variables!$C$12,"sec","day")),POS_Time,"&lt;="&amp;($D93-CONVERT(Variables!$C$12+1,"sec","day")),POS_Q,"=5")))</f>
        <v/>
      </c>
      <c r="Z93" s="26" t="str">
        <f>IF($B93="","",IF(6&gt;Variables!$C$11,0,COUNTIFS(POS_Time,"&gt;="&amp;($C93+CONVERT(Variables!$C$12,"sec","day")),POS_Time,"&lt;="&amp;($D93-CONVERT(Variables!$C$12+1,"sec","day")),POS_Q,"=6")))</f>
        <v/>
      </c>
    </row>
    <row r="94" spans="1:26" x14ac:dyDescent="0.25">
      <c r="A94" s="2">
        <v>93</v>
      </c>
      <c r="B94" s="27" t="str">
        <f>IF((ROW()-1)&lt;=RoverStations,'Rover CSV Data'!B94,"")</f>
        <v/>
      </c>
      <c r="C94" s="28" t="str">
        <f>IF($B94="","",DATEVALUE(LEFT('Rover CSV Data'!F94,FIND(" ",'Rover CSV Data'!F94)-1))+TIMEVALUE(MID('Rover CSV Data'!F94,LEN('Rover CSV Data'!F94)-FIND(" ",'Rover CSV Data'!F94),(FIND(" UTC",'Rover CSV Data'!F94))-(LEN('Rover CSV Data'!F94)-FIND(" ",'Rover CSV Data'!F94)))))</f>
        <v/>
      </c>
      <c r="D94" s="28" t="str">
        <f>IF($B94="","",DATEVALUE(LEFT('Rover CSV Data'!G94,FIND(" ",'Rover CSV Data'!G94)-1))+TIMEVALUE(MID('Rover CSV Data'!G94,LEN('Rover CSV Data'!G94)-FIND(" ",'Rover CSV Data'!G94),(FIND(" UTC",'Rover CSV Data'!G94))-(LEN('Rover CSV Data'!G94)-FIND(" ",'Rover CSV Data'!G94)))))</f>
        <v/>
      </c>
      <c r="E94" s="29" t="str">
        <f t="shared" si="2"/>
        <v/>
      </c>
      <c r="F94" s="26" t="str">
        <f>IF($B94="","",'Rover CSV Data'!J94)</f>
        <v/>
      </c>
      <c r="G94" s="26" t="str">
        <f>IF($B94="","",AVERAGEIFS(POS_Lat,POS_Time,"&gt;="&amp;($C94+CONVERT(Variables!$C$12,"sec","day")),POS_Time,"&lt;="&amp;($D94-CONVERT(Variables!$C$12+1,"sec","day")),POS_Q,"&lt;="&amp;Variables!$C$11))</f>
        <v/>
      </c>
      <c r="H94" s="26" t="str">
        <f>IF($B94="","",AVERAGEIFS(POS_Long,POS_Time,"&gt;="&amp;($C94+CONVERT(Variables!$C$12,"sec","day")),POS_Time,"&lt;="&amp;($D94-CONVERT(Variables!$C$12+1,"sec","day")),POS_Q,"&lt;="&amp;Variables!$C$11))</f>
        <v/>
      </c>
      <c r="I94" s="30" t="str">
        <f>IF($B94="","",AVERAGEIFS(POS_elev,POS_Time,"&gt;="&amp;($C94+CONVERT(Variables!$C$12,"sec","day")),POS_Time,"&lt;="&amp;($D94-CONVERT(Variables!$C$12+1,"sec","day")),POS_Q,"&lt;="&amp;Variables!$C$11)-S94)</f>
        <v/>
      </c>
      <c r="J94" s="26" t="str">
        <f>IF($B94="","",'Rover CSV Data'!D94)</f>
        <v/>
      </c>
      <c r="K94" s="26" t="str">
        <f>IF($B94="","",'Rover CSV Data'!C94)</f>
        <v/>
      </c>
      <c r="L94" s="26" t="str">
        <f>IF($B94="","",'Rover CSV Data'!E94)</f>
        <v/>
      </c>
      <c r="M94" s="30" t="str">
        <f>IF($B94="","",AVERAGEIFS(sdn,POS_Time,"&gt;="&amp;($C94+CONVERT(Variables!$C$12,"sec","day")),POS_Time,"&lt;="&amp;($D94-CONVERT(Variables!$C$12+1,"sec","day")),POS_Q,"&lt;="&amp;Variables!$C$11))</f>
        <v/>
      </c>
      <c r="N94" s="31" t="str">
        <f>IF($B94="","",AVERAGEIFS(sde,POS_Time,"&gt;="&amp;($C94+CONVERT(Variables!$C$12,"sec","day")),POS_Time,"&lt;="&amp;($D94-CONVERT(Variables!$C$12+1,"sec","day")),POS_Q,"&lt;="&amp;Variables!$C$11))</f>
        <v/>
      </c>
      <c r="O94" s="31" t="str">
        <f>IF($B94="","",AVERAGEIFS(sdu,POS_Time,"&gt;="&amp;($C94+CONVERT(Variables!$C$12,"sec","day")),POS_Time,"&lt;="&amp;($D94-CONVERT(Variables!$C$12+1,"sec","day")),POS_Q,"&lt;="&amp;Variables!$C$11))</f>
        <v/>
      </c>
      <c r="P94" s="32" t="str">
        <f t="array" ref="P94">IF($B94="","",STDEV(IF(POS_Time&gt;=($C94+CONVERT(Variables!$C$12,"sec","day")),IF(POS_Time&lt;=($D94-CONVERT(Variables!$C$12+1,"sec","day")),IF(POS_Q&lt;=Variables!$C$11,POS_Lat)))))</f>
        <v/>
      </c>
      <c r="Q94" s="32" t="str">
        <f t="array" ref="Q94">IF($B94="","",STDEV(IF(POS_Time&gt;=($C94+CONVERT(Variables!$C$12,"sec","day")),IF(POS_Time&lt;=($D94-CONVERT(Variables!$C$12+1,"sec","day")),IF(POS_Q&lt;=Variables!$C$11,POS_Long)))))</f>
        <v/>
      </c>
      <c r="R94" s="32" t="str">
        <f t="array" ref="R94">IF($B94="","",STDEV(IF(POS_Time&gt;=($C94+CONVERT(Variables!$C$12,"sec","day")),IF(POS_Time&lt;=($D94-CONVERT(Variables!$C$12+1,"sec","day")),IF(POS_Q&lt;=Variables!$C$11,POS_elev)))))</f>
        <v/>
      </c>
      <c r="S94" s="30" t="str">
        <f>IF($B94="","",'Rover CSV Data'!K94)</f>
        <v/>
      </c>
      <c r="T94" s="26" t="str">
        <f>IF($B94="","",COUNTIFS(POS_Time,"&gt;="&amp;($C94+CONVERT(Variables!$C$12,"sec","day")),POS_Time,"&lt;="&amp;($D94-CONVERT(Variables!$C$12+1,"sec","day")),POS_Q,"&lt;="&amp;Variables!$C$11))</f>
        <v/>
      </c>
      <c r="U94" s="26" t="str">
        <f>IF($B94="","",IF(1&gt;Variables!$C$11,0,COUNTIFS(POS_Time,"&gt;="&amp;($C94+CONVERT(Variables!$C$12,"sec","day")),POS_Time,"&lt;="&amp;($D94-CONVERT(Variables!$C$12+1,"sec","day")),POS_Q,"=1")))</f>
        <v/>
      </c>
      <c r="V94" s="26" t="str">
        <f>IF($B94="","",IF(2&gt;Variables!$C$11,0,COUNTIFS(POS_Time,"&gt;="&amp;($C94+CONVERT(Variables!$C$12,"sec","day")),POS_Time,"&lt;="&amp;($D94-CONVERT(Variables!$C$12+1,"sec","day")),POS_Q,"=2")))</f>
        <v/>
      </c>
      <c r="W94" s="26" t="str">
        <f>IF($B94="","",IF(3&gt;Variables!$C$11,0,COUNTIFS(POS_Time,"&gt;="&amp;($C94+CONVERT(Variables!$C$12,"sec","day")),POS_Time,"&lt;="&amp;($D94-CONVERT(Variables!$C$12+1,"sec","day")),POS_Q,"=3")))</f>
        <v/>
      </c>
      <c r="X94" s="26" t="str">
        <f>IF($B94="","",IF(4&gt;Variables!$C$11,0,COUNTIFS(POS_Time,"&gt;="&amp;($C94+CONVERT(Variables!$C$12,"sec","day")),POS_Time,"&lt;="&amp;($D94-CONVERT(Variables!$C$12+1,"sec","day")),POS_Q,"=4")))</f>
        <v/>
      </c>
      <c r="Y94" s="26" t="str">
        <f>IF($B94="","",IF(5&gt;Variables!$C$11,0,COUNTIFS(POS_Time,"&gt;="&amp;($C94+CONVERT(Variables!$C$12,"sec","day")),POS_Time,"&lt;="&amp;($D94-CONVERT(Variables!$C$12+1,"sec","day")),POS_Q,"=5")))</f>
        <v/>
      </c>
      <c r="Z94" s="26" t="str">
        <f>IF($B94="","",IF(6&gt;Variables!$C$11,0,COUNTIFS(POS_Time,"&gt;="&amp;($C94+CONVERT(Variables!$C$12,"sec","day")),POS_Time,"&lt;="&amp;($D94-CONVERT(Variables!$C$12+1,"sec","day")),POS_Q,"=6")))</f>
        <v/>
      </c>
    </row>
    <row r="95" spans="1:26" x14ac:dyDescent="0.25">
      <c r="A95" s="2">
        <v>94</v>
      </c>
      <c r="B95" s="27" t="str">
        <f>IF((ROW()-1)&lt;=RoverStations,'Rover CSV Data'!B95,"")</f>
        <v/>
      </c>
      <c r="C95" s="28" t="str">
        <f>IF($B95="","",DATEVALUE(LEFT('Rover CSV Data'!F95,FIND(" ",'Rover CSV Data'!F95)-1))+TIMEVALUE(MID('Rover CSV Data'!F95,LEN('Rover CSV Data'!F95)-FIND(" ",'Rover CSV Data'!F95),(FIND(" UTC",'Rover CSV Data'!F95))-(LEN('Rover CSV Data'!F95)-FIND(" ",'Rover CSV Data'!F95)))))</f>
        <v/>
      </c>
      <c r="D95" s="28" t="str">
        <f>IF($B95="","",DATEVALUE(LEFT('Rover CSV Data'!G95,FIND(" ",'Rover CSV Data'!G95)-1))+TIMEVALUE(MID('Rover CSV Data'!G95,LEN('Rover CSV Data'!G95)-FIND(" ",'Rover CSV Data'!G95),(FIND(" UTC",'Rover CSV Data'!G95))-(LEN('Rover CSV Data'!G95)-FIND(" ",'Rover CSV Data'!G95)))))</f>
        <v/>
      </c>
      <c r="E95" s="29" t="str">
        <f t="shared" si="2"/>
        <v/>
      </c>
      <c r="F95" s="26" t="str">
        <f>IF($B95="","",'Rover CSV Data'!J95)</f>
        <v/>
      </c>
      <c r="G95" s="26" t="str">
        <f>IF($B95="","",AVERAGEIFS(POS_Lat,POS_Time,"&gt;="&amp;($C95+CONVERT(Variables!$C$12,"sec","day")),POS_Time,"&lt;="&amp;($D95-CONVERT(Variables!$C$12+1,"sec","day")),POS_Q,"&lt;="&amp;Variables!$C$11))</f>
        <v/>
      </c>
      <c r="H95" s="26" t="str">
        <f>IF($B95="","",AVERAGEIFS(POS_Long,POS_Time,"&gt;="&amp;($C95+CONVERT(Variables!$C$12,"sec","day")),POS_Time,"&lt;="&amp;($D95-CONVERT(Variables!$C$12+1,"sec","day")),POS_Q,"&lt;="&amp;Variables!$C$11))</f>
        <v/>
      </c>
      <c r="I95" s="30" t="str">
        <f>IF($B95="","",AVERAGEIFS(POS_elev,POS_Time,"&gt;="&amp;($C95+CONVERT(Variables!$C$12,"sec","day")),POS_Time,"&lt;="&amp;($D95-CONVERT(Variables!$C$12+1,"sec","day")),POS_Q,"&lt;="&amp;Variables!$C$11)-S95)</f>
        <v/>
      </c>
      <c r="J95" s="26" t="str">
        <f>IF($B95="","",'Rover CSV Data'!D95)</f>
        <v/>
      </c>
      <c r="K95" s="26" t="str">
        <f>IF($B95="","",'Rover CSV Data'!C95)</f>
        <v/>
      </c>
      <c r="L95" s="26" t="str">
        <f>IF($B95="","",'Rover CSV Data'!E95)</f>
        <v/>
      </c>
      <c r="M95" s="30" t="str">
        <f>IF($B95="","",AVERAGEIFS(sdn,POS_Time,"&gt;="&amp;($C95+CONVERT(Variables!$C$12,"sec","day")),POS_Time,"&lt;="&amp;($D95-CONVERT(Variables!$C$12+1,"sec","day")),POS_Q,"&lt;="&amp;Variables!$C$11))</f>
        <v/>
      </c>
      <c r="N95" s="31" t="str">
        <f>IF($B95="","",AVERAGEIFS(sde,POS_Time,"&gt;="&amp;($C95+CONVERT(Variables!$C$12,"sec","day")),POS_Time,"&lt;="&amp;($D95-CONVERT(Variables!$C$12+1,"sec","day")),POS_Q,"&lt;="&amp;Variables!$C$11))</f>
        <v/>
      </c>
      <c r="O95" s="31" t="str">
        <f>IF($B95="","",AVERAGEIFS(sdu,POS_Time,"&gt;="&amp;($C95+CONVERT(Variables!$C$12,"sec","day")),POS_Time,"&lt;="&amp;($D95-CONVERT(Variables!$C$12+1,"sec","day")),POS_Q,"&lt;="&amp;Variables!$C$11))</f>
        <v/>
      </c>
      <c r="P95" s="32" t="str">
        <f t="array" ref="P95">IF($B95="","",STDEV(IF(POS_Time&gt;=($C95+CONVERT(Variables!$C$12,"sec","day")),IF(POS_Time&lt;=($D95-CONVERT(Variables!$C$12+1,"sec","day")),IF(POS_Q&lt;=Variables!$C$11,POS_Lat)))))</f>
        <v/>
      </c>
      <c r="Q95" s="32" t="str">
        <f t="array" ref="Q95">IF($B95="","",STDEV(IF(POS_Time&gt;=($C95+CONVERT(Variables!$C$12,"sec","day")),IF(POS_Time&lt;=($D95-CONVERT(Variables!$C$12+1,"sec","day")),IF(POS_Q&lt;=Variables!$C$11,POS_Long)))))</f>
        <v/>
      </c>
      <c r="R95" s="32" t="str">
        <f t="array" ref="R95">IF($B95="","",STDEV(IF(POS_Time&gt;=($C95+CONVERT(Variables!$C$12,"sec","day")),IF(POS_Time&lt;=($D95-CONVERT(Variables!$C$12+1,"sec","day")),IF(POS_Q&lt;=Variables!$C$11,POS_elev)))))</f>
        <v/>
      </c>
      <c r="S95" s="30" t="str">
        <f>IF($B95="","",'Rover CSV Data'!K95)</f>
        <v/>
      </c>
      <c r="T95" s="26" t="str">
        <f>IF($B95="","",COUNTIFS(POS_Time,"&gt;="&amp;($C95+CONVERT(Variables!$C$12,"sec","day")),POS_Time,"&lt;="&amp;($D95-CONVERT(Variables!$C$12+1,"sec","day")),POS_Q,"&lt;="&amp;Variables!$C$11))</f>
        <v/>
      </c>
      <c r="U95" s="26" t="str">
        <f>IF($B95="","",IF(1&gt;Variables!$C$11,0,COUNTIFS(POS_Time,"&gt;="&amp;($C95+CONVERT(Variables!$C$12,"sec","day")),POS_Time,"&lt;="&amp;($D95-CONVERT(Variables!$C$12+1,"sec","day")),POS_Q,"=1")))</f>
        <v/>
      </c>
      <c r="V95" s="26" t="str">
        <f>IF($B95="","",IF(2&gt;Variables!$C$11,0,COUNTIFS(POS_Time,"&gt;="&amp;($C95+CONVERT(Variables!$C$12,"sec","day")),POS_Time,"&lt;="&amp;($D95-CONVERT(Variables!$C$12+1,"sec","day")),POS_Q,"=2")))</f>
        <v/>
      </c>
      <c r="W95" s="26" t="str">
        <f>IF($B95="","",IF(3&gt;Variables!$C$11,0,COUNTIFS(POS_Time,"&gt;="&amp;($C95+CONVERT(Variables!$C$12,"sec","day")),POS_Time,"&lt;="&amp;($D95-CONVERT(Variables!$C$12+1,"sec","day")),POS_Q,"=3")))</f>
        <v/>
      </c>
      <c r="X95" s="26" t="str">
        <f>IF($B95="","",IF(4&gt;Variables!$C$11,0,COUNTIFS(POS_Time,"&gt;="&amp;($C95+CONVERT(Variables!$C$12,"sec","day")),POS_Time,"&lt;="&amp;($D95-CONVERT(Variables!$C$12+1,"sec","day")),POS_Q,"=4")))</f>
        <v/>
      </c>
      <c r="Y95" s="26" t="str">
        <f>IF($B95="","",IF(5&gt;Variables!$C$11,0,COUNTIFS(POS_Time,"&gt;="&amp;($C95+CONVERT(Variables!$C$12,"sec","day")),POS_Time,"&lt;="&amp;($D95-CONVERT(Variables!$C$12+1,"sec","day")),POS_Q,"=5")))</f>
        <v/>
      </c>
      <c r="Z95" s="26" t="str">
        <f>IF($B95="","",IF(6&gt;Variables!$C$11,0,COUNTIFS(POS_Time,"&gt;="&amp;($C95+CONVERT(Variables!$C$12,"sec","day")),POS_Time,"&lt;="&amp;($D95-CONVERT(Variables!$C$12+1,"sec","day")),POS_Q,"=6")))</f>
        <v/>
      </c>
    </row>
    <row r="96" spans="1:26" x14ac:dyDescent="0.25">
      <c r="A96" s="2">
        <v>95</v>
      </c>
      <c r="B96" s="27" t="str">
        <f>IF((ROW()-1)&lt;=RoverStations,'Rover CSV Data'!B96,"")</f>
        <v/>
      </c>
      <c r="C96" s="28" t="str">
        <f>IF($B96="","",DATEVALUE(LEFT('Rover CSV Data'!F96,FIND(" ",'Rover CSV Data'!F96)-1))+TIMEVALUE(MID('Rover CSV Data'!F96,LEN('Rover CSV Data'!F96)-FIND(" ",'Rover CSV Data'!F96),(FIND(" UTC",'Rover CSV Data'!F96))-(LEN('Rover CSV Data'!F96)-FIND(" ",'Rover CSV Data'!F96)))))</f>
        <v/>
      </c>
      <c r="D96" s="28" t="str">
        <f>IF($B96="","",DATEVALUE(LEFT('Rover CSV Data'!G96,FIND(" ",'Rover CSV Data'!G96)-1))+TIMEVALUE(MID('Rover CSV Data'!G96,LEN('Rover CSV Data'!G96)-FIND(" ",'Rover CSV Data'!G96),(FIND(" UTC",'Rover CSV Data'!G96))-(LEN('Rover CSV Data'!G96)-FIND(" ",'Rover CSV Data'!G96)))))</f>
        <v/>
      </c>
      <c r="E96" s="29" t="str">
        <f t="shared" si="2"/>
        <v/>
      </c>
      <c r="F96" s="26" t="str">
        <f>IF($B96="","",'Rover CSV Data'!J96)</f>
        <v/>
      </c>
      <c r="G96" s="26" t="str">
        <f>IF($B96="","",AVERAGEIFS(POS_Lat,POS_Time,"&gt;="&amp;($C96+CONVERT(Variables!$C$12,"sec","day")),POS_Time,"&lt;="&amp;($D96-CONVERT(Variables!$C$12+1,"sec","day")),POS_Q,"&lt;="&amp;Variables!$C$11))</f>
        <v/>
      </c>
      <c r="H96" s="26" t="str">
        <f>IF($B96="","",AVERAGEIFS(POS_Long,POS_Time,"&gt;="&amp;($C96+CONVERT(Variables!$C$12,"sec","day")),POS_Time,"&lt;="&amp;($D96-CONVERT(Variables!$C$12+1,"sec","day")),POS_Q,"&lt;="&amp;Variables!$C$11))</f>
        <v/>
      </c>
      <c r="I96" s="30" t="str">
        <f>IF($B96="","",AVERAGEIFS(POS_elev,POS_Time,"&gt;="&amp;($C96+CONVERT(Variables!$C$12,"sec","day")),POS_Time,"&lt;="&amp;($D96-CONVERT(Variables!$C$12+1,"sec","day")),POS_Q,"&lt;="&amp;Variables!$C$11)-S96)</f>
        <v/>
      </c>
      <c r="J96" s="26" t="str">
        <f>IF($B96="","",'Rover CSV Data'!D96)</f>
        <v/>
      </c>
      <c r="K96" s="26" t="str">
        <f>IF($B96="","",'Rover CSV Data'!C96)</f>
        <v/>
      </c>
      <c r="L96" s="26" t="str">
        <f>IF($B96="","",'Rover CSV Data'!E96)</f>
        <v/>
      </c>
      <c r="M96" s="30" t="str">
        <f>IF($B96="","",AVERAGEIFS(sdn,POS_Time,"&gt;="&amp;($C96+CONVERT(Variables!$C$12,"sec","day")),POS_Time,"&lt;="&amp;($D96-CONVERT(Variables!$C$12+1,"sec","day")),POS_Q,"&lt;="&amp;Variables!$C$11))</f>
        <v/>
      </c>
      <c r="N96" s="31" t="str">
        <f>IF($B96="","",AVERAGEIFS(sde,POS_Time,"&gt;="&amp;($C96+CONVERT(Variables!$C$12,"sec","day")),POS_Time,"&lt;="&amp;($D96-CONVERT(Variables!$C$12+1,"sec","day")),POS_Q,"&lt;="&amp;Variables!$C$11))</f>
        <v/>
      </c>
      <c r="O96" s="31" t="str">
        <f>IF($B96="","",AVERAGEIFS(sdu,POS_Time,"&gt;="&amp;($C96+CONVERT(Variables!$C$12,"sec","day")),POS_Time,"&lt;="&amp;($D96-CONVERT(Variables!$C$12+1,"sec","day")),POS_Q,"&lt;="&amp;Variables!$C$11))</f>
        <v/>
      </c>
      <c r="P96" s="32" t="str">
        <f t="array" ref="P96">IF($B96="","",STDEV(IF(POS_Time&gt;=($C96+CONVERT(Variables!$C$12,"sec","day")),IF(POS_Time&lt;=($D96-CONVERT(Variables!$C$12+1,"sec","day")),IF(POS_Q&lt;=Variables!$C$11,POS_Lat)))))</f>
        <v/>
      </c>
      <c r="Q96" s="32" t="str">
        <f t="array" ref="Q96">IF($B96="","",STDEV(IF(POS_Time&gt;=($C96+CONVERT(Variables!$C$12,"sec","day")),IF(POS_Time&lt;=($D96-CONVERT(Variables!$C$12+1,"sec","day")),IF(POS_Q&lt;=Variables!$C$11,POS_Long)))))</f>
        <v/>
      </c>
      <c r="R96" s="32" t="str">
        <f t="array" ref="R96">IF($B96="","",STDEV(IF(POS_Time&gt;=($C96+CONVERT(Variables!$C$12,"sec","day")),IF(POS_Time&lt;=($D96-CONVERT(Variables!$C$12+1,"sec","day")),IF(POS_Q&lt;=Variables!$C$11,POS_elev)))))</f>
        <v/>
      </c>
      <c r="S96" s="30" t="str">
        <f>IF($B96="","",'Rover CSV Data'!K96)</f>
        <v/>
      </c>
      <c r="T96" s="26" t="str">
        <f>IF($B96="","",COUNTIFS(POS_Time,"&gt;="&amp;($C96+CONVERT(Variables!$C$12,"sec","day")),POS_Time,"&lt;="&amp;($D96-CONVERT(Variables!$C$12+1,"sec","day")),POS_Q,"&lt;="&amp;Variables!$C$11))</f>
        <v/>
      </c>
      <c r="U96" s="26" t="str">
        <f>IF($B96="","",IF(1&gt;Variables!$C$11,0,COUNTIFS(POS_Time,"&gt;="&amp;($C96+CONVERT(Variables!$C$12,"sec","day")),POS_Time,"&lt;="&amp;($D96-CONVERT(Variables!$C$12+1,"sec","day")),POS_Q,"=1")))</f>
        <v/>
      </c>
      <c r="V96" s="26" t="str">
        <f>IF($B96="","",IF(2&gt;Variables!$C$11,0,COUNTIFS(POS_Time,"&gt;="&amp;($C96+CONVERT(Variables!$C$12,"sec","day")),POS_Time,"&lt;="&amp;($D96-CONVERT(Variables!$C$12+1,"sec","day")),POS_Q,"=2")))</f>
        <v/>
      </c>
      <c r="W96" s="26" t="str">
        <f>IF($B96="","",IF(3&gt;Variables!$C$11,0,COUNTIFS(POS_Time,"&gt;="&amp;($C96+CONVERT(Variables!$C$12,"sec","day")),POS_Time,"&lt;="&amp;($D96-CONVERT(Variables!$C$12+1,"sec","day")),POS_Q,"=3")))</f>
        <v/>
      </c>
      <c r="X96" s="26" t="str">
        <f>IF($B96="","",IF(4&gt;Variables!$C$11,0,COUNTIFS(POS_Time,"&gt;="&amp;($C96+CONVERT(Variables!$C$12,"sec","day")),POS_Time,"&lt;="&amp;($D96-CONVERT(Variables!$C$12+1,"sec","day")),POS_Q,"=4")))</f>
        <v/>
      </c>
      <c r="Y96" s="26" t="str">
        <f>IF($B96="","",IF(5&gt;Variables!$C$11,0,COUNTIFS(POS_Time,"&gt;="&amp;($C96+CONVERT(Variables!$C$12,"sec","day")),POS_Time,"&lt;="&amp;($D96-CONVERT(Variables!$C$12+1,"sec","day")),POS_Q,"=5")))</f>
        <v/>
      </c>
      <c r="Z96" s="26" t="str">
        <f>IF($B96="","",IF(6&gt;Variables!$C$11,0,COUNTIFS(POS_Time,"&gt;="&amp;($C96+CONVERT(Variables!$C$12,"sec","day")),POS_Time,"&lt;="&amp;($D96-CONVERT(Variables!$C$12+1,"sec","day")),POS_Q,"=6")))</f>
        <v/>
      </c>
    </row>
    <row r="97" spans="1:26" x14ac:dyDescent="0.25">
      <c r="A97" s="2">
        <v>96</v>
      </c>
      <c r="B97" s="27" t="str">
        <f>IF((ROW()-1)&lt;=RoverStations,'Rover CSV Data'!B97,"")</f>
        <v/>
      </c>
      <c r="C97" s="28" t="str">
        <f>IF($B97="","",DATEVALUE(LEFT('Rover CSV Data'!F97,FIND(" ",'Rover CSV Data'!F97)-1))+TIMEVALUE(MID('Rover CSV Data'!F97,LEN('Rover CSV Data'!F97)-FIND(" ",'Rover CSV Data'!F97),(FIND(" UTC",'Rover CSV Data'!F97))-(LEN('Rover CSV Data'!F97)-FIND(" ",'Rover CSV Data'!F97)))))</f>
        <v/>
      </c>
      <c r="D97" s="28" t="str">
        <f>IF($B97="","",DATEVALUE(LEFT('Rover CSV Data'!G97,FIND(" ",'Rover CSV Data'!G97)-1))+TIMEVALUE(MID('Rover CSV Data'!G97,LEN('Rover CSV Data'!G97)-FIND(" ",'Rover CSV Data'!G97),(FIND(" UTC",'Rover CSV Data'!G97))-(LEN('Rover CSV Data'!G97)-FIND(" ",'Rover CSV Data'!G97)))))</f>
        <v/>
      </c>
      <c r="E97" s="29" t="str">
        <f t="shared" si="2"/>
        <v/>
      </c>
      <c r="F97" s="26" t="str">
        <f>IF($B97="","",'Rover CSV Data'!J97)</f>
        <v/>
      </c>
      <c r="G97" s="26" t="str">
        <f>IF($B97="","",AVERAGEIFS(POS_Lat,POS_Time,"&gt;="&amp;($C97+CONVERT(Variables!$C$12,"sec","day")),POS_Time,"&lt;="&amp;($D97-CONVERT(Variables!$C$12+1,"sec","day")),POS_Q,"&lt;="&amp;Variables!$C$11))</f>
        <v/>
      </c>
      <c r="H97" s="26" t="str">
        <f>IF($B97="","",AVERAGEIFS(POS_Long,POS_Time,"&gt;="&amp;($C97+CONVERT(Variables!$C$12,"sec","day")),POS_Time,"&lt;="&amp;($D97-CONVERT(Variables!$C$12+1,"sec","day")),POS_Q,"&lt;="&amp;Variables!$C$11))</f>
        <v/>
      </c>
      <c r="I97" s="30" t="str">
        <f>IF($B97="","",AVERAGEIFS(POS_elev,POS_Time,"&gt;="&amp;($C97+CONVERT(Variables!$C$12,"sec","day")),POS_Time,"&lt;="&amp;($D97-CONVERT(Variables!$C$12+1,"sec","day")),POS_Q,"&lt;="&amp;Variables!$C$11)-S97)</f>
        <v/>
      </c>
      <c r="J97" s="26" t="str">
        <f>IF($B97="","",'Rover CSV Data'!D97)</f>
        <v/>
      </c>
      <c r="K97" s="26" t="str">
        <f>IF($B97="","",'Rover CSV Data'!C97)</f>
        <v/>
      </c>
      <c r="L97" s="26" t="str">
        <f>IF($B97="","",'Rover CSV Data'!E97)</f>
        <v/>
      </c>
      <c r="M97" s="30" t="str">
        <f>IF($B97="","",AVERAGEIFS(sdn,POS_Time,"&gt;="&amp;($C97+CONVERT(Variables!$C$12,"sec","day")),POS_Time,"&lt;="&amp;($D97-CONVERT(Variables!$C$12+1,"sec","day")),POS_Q,"&lt;="&amp;Variables!$C$11))</f>
        <v/>
      </c>
      <c r="N97" s="31" t="str">
        <f>IF($B97="","",AVERAGEIFS(sde,POS_Time,"&gt;="&amp;($C97+CONVERT(Variables!$C$12,"sec","day")),POS_Time,"&lt;="&amp;($D97-CONVERT(Variables!$C$12+1,"sec","day")),POS_Q,"&lt;="&amp;Variables!$C$11))</f>
        <v/>
      </c>
      <c r="O97" s="31" t="str">
        <f>IF($B97="","",AVERAGEIFS(sdu,POS_Time,"&gt;="&amp;($C97+CONVERT(Variables!$C$12,"sec","day")),POS_Time,"&lt;="&amp;($D97-CONVERT(Variables!$C$12+1,"sec","day")),POS_Q,"&lt;="&amp;Variables!$C$11))</f>
        <v/>
      </c>
      <c r="P97" s="32" t="str">
        <f t="array" ref="P97">IF($B97="","",STDEV(IF(POS_Time&gt;=($C97+CONVERT(Variables!$C$12,"sec","day")),IF(POS_Time&lt;=($D97-CONVERT(Variables!$C$12+1,"sec","day")),IF(POS_Q&lt;=Variables!$C$11,POS_Lat)))))</f>
        <v/>
      </c>
      <c r="Q97" s="32" t="str">
        <f t="array" ref="Q97">IF($B97="","",STDEV(IF(POS_Time&gt;=($C97+CONVERT(Variables!$C$12,"sec","day")),IF(POS_Time&lt;=($D97-CONVERT(Variables!$C$12+1,"sec","day")),IF(POS_Q&lt;=Variables!$C$11,POS_Long)))))</f>
        <v/>
      </c>
      <c r="R97" s="32" t="str">
        <f t="array" ref="R97">IF($B97="","",STDEV(IF(POS_Time&gt;=($C97+CONVERT(Variables!$C$12,"sec","day")),IF(POS_Time&lt;=($D97-CONVERT(Variables!$C$12+1,"sec","day")),IF(POS_Q&lt;=Variables!$C$11,POS_elev)))))</f>
        <v/>
      </c>
      <c r="S97" s="30" t="str">
        <f>IF($B97="","",'Rover CSV Data'!K97)</f>
        <v/>
      </c>
      <c r="T97" s="26" t="str">
        <f>IF($B97="","",COUNTIFS(POS_Time,"&gt;="&amp;($C97+CONVERT(Variables!$C$12,"sec","day")),POS_Time,"&lt;="&amp;($D97-CONVERT(Variables!$C$12+1,"sec","day")),POS_Q,"&lt;="&amp;Variables!$C$11))</f>
        <v/>
      </c>
      <c r="U97" s="26" t="str">
        <f>IF($B97="","",IF(1&gt;Variables!$C$11,0,COUNTIFS(POS_Time,"&gt;="&amp;($C97+CONVERT(Variables!$C$12,"sec","day")),POS_Time,"&lt;="&amp;($D97-CONVERT(Variables!$C$12+1,"sec","day")),POS_Q,"=1")))</f>
        <v/>
      </c>
      <c r="V97" s="26" t="str">
        <f>IF($B97="","",IF(2&gt;Variables!$C$11,0,COUNTIFS(POS_Time,"&gt;="&amp;($C97+CONVERT(Variables!$C$12,"sec","day")),POS_Time,"&lt;="&amp;($D97-CONVERT(Variables!$C$12+1,"sec","day")),POS_Q,"=2")))</f>
        <v/>
      </c>
      <c r="W97" s="26" t="str">
        <f>IF($B97="","",IF(3&gt;Variables!$C$11,0,COUNTIFS(POS_Time,"&gt;="&amp;($C97+CONVERT(Variables!$C$12,"sec","day")),POS_Time,"&lt;="&amp;($D97-CONVERT(Variables!$C$12+1,"sec","day")),POS_Q,"=3")))</f>
        <v/>
      </c>
      <c r="X97" s="26" t="str">
        <f>IF($B97="","",IF(4&gt;Variables!$C$11,0,COUNTIFS(POS_Time,"&gt;="&amp;($C97+CONVERT(Variables!$C$12,"sec","day")),POS_Time,"&lt;="&amp;($D97-CONVERT(Variables!$C$12+1,"sec","day")),POS_Q,"=4")))</f>
        <v/>
      </c>
      <c r="Y97" s="26" t="str">
        <f>IF($B97="","",IF(5&gt;Variables!$C$11,0,COUNTIFS(POS_Time,"&gt;="&amp;($C97+CONVERT(Variables!$C$12,"sec","day")),POS_Time,"&lt;="&amp;($D97-CONVERT(Variables!$C$12+1,"sec","day")),POS_Q,"=5")))</f>
        <v/>
      </c>
      <c r="Z97" s="26" t="str">
        <f>IF($B97="","",IF(6&gt;Variables!$C$11,0,COUNTIFS(POS_Time,"&gt;="&amp;($C97+CONVERT(Variables!$C$12,"sec","day")),POS_Time,"&lt;="&amp;($D97-CONVERT(Variables!$C$12+1,"sec","day")),POS_Q,"=6")))</f>
        <v/>
      </c>
    </row>
    <row r="98" spans="1:26" x14ac:dyDescent="0.25">
      <c r="A98" s="2">
        <v>97</v>
      </c>
      <c r="B98" s="27" t="str">
        <f>IF((ROW()-1)&lt;=RoverStations,'Rover CSV Data'!B98,"")</f>
        <v/>
      </c>
      <c r="C98" s="28" t="str">
        <f>IF($B98="","",DATEVALUE(LEFT('Rover CSV Data'!F98,FIND(" ",'Rover CSV Data'!F98)-1))+TIMEVALUE(MID('Rover CSV Data'!F98,LEN('Rover CSV Data'!F98)-FIND(" ",'Rover CSV Data'!F98),(FIND(" UTC",'Rover CSV Data'!F98))-(LEN('Rover CSV Data'!F98)-FIND(" ",'Rover CSV Data'!F98)))))</f>
        <v/>
      </c>
      <c r="D98" s="28" t="str">
        <f>IF($B98="","",DATEVALUE(LEFT('Rover CSV Data'!G98,FIND(" ",'Rover CSV Data'!G98)-1))+TIMEVALUE(MID('Rover CSV Data'!G98,LEN('Rover CSV Data'!G98)-FIND(" ",'Rover CSV Data'!G98),(FIND(" UTC",'Rover CSV Data'!G98))-(LEN('Rover CSV Data'!G98)-FIND(" ",'Rover CSV Data'!G98)))))</f>
        <v/>
      </c>
      <c r="E98" s="29" t="str">
        <f t="shared" si="2"/>
        <v/>
      </c>
      <c r="F98" s="26" t="str">
        <f>IF($B98="","",'Rover CSV Data'!J98)</f>
        <v/>
      </c>
      <c r="G98" s="26" t="str">
        <f>IF($B98="","",AVERAGEIFS(POS_Lat,POS_Time,"&gt;="&amp;($C98+CONVERT(Variables!$C$12,"sec","day")),POS_Time,"&lt;="&amp;($D98-CONVERT(Variables!$C$12+1,"sec","day")),POS_Q,"&lt;="&amp;Variables!$C$11))</f>
        <v/>
      </c>
      <c r="H98" s="26" t="str">
        <f>IF($B98="","",AVERAGEIFS(POS_Long,POS_Time,"&gt;="&amp;($C98+CONVERT(Variables!$C$12,"sec","day")),POS_Time,"&lt;="&amp;($D98-CONVERT(Variables!$C$12+1,"sec","day")),POS_Q,"&lt;="&amp;Variables!$C$11))</f>
        <v/>
      </c>
      <c r="I98" s="30" t="str">
        <f>IF($B98="","",AVERAGEIFS(POS_elev,POS_Time,"&gt;="&amp;($C98+CONVERT(Variables!$C$12,"sec","day")),POS_Time,"&lt;="&amp;($D98-CONVERT(Variables!$C$12+1,"sec","day")),POS_Q,"&lt;="&amp;Variables!$C$11)-S98)</f>
        <v/>
      </c>
      <c r="J98" s="26" t="str">
        <f>IF($B98="","",'Rover CSV Data'!D98)</f>
        <v/>
      </c>
      <c r="K98" s="26" t="str">
        <f>IF($B98="","",'Rover CSV Data'!C98)</f>
        <v/>
      </c>
      <c r="L98" s="26" t="str">
        <f>IF($B98="","",'Rover CSV Data'!E98)</f>
        <v/>
      </c>
      <c r="M98" s="30" t="str">
        <f>IF($B98="","",AVERAGEIFS(sdn,POS_Time,"&gt;="&amp;($C98+CONVERT(Variables!$C$12,"sec","day")),POS_Time,"&lt;="&amp;($D98-CONVERT(Variables!$C$12+1,"sec","day")),POS_Q,"&lt;="&amp;Variables!$C$11))</f>
        <v/>
      </c>
      <c r="N98" s="31" t="str">
        <f>IF($B98="","",AVERAGEIFS(sde,POS_Time,"&gt;="&amp;($C98+CONVERT(Variables!$C$12,"sec","day")),POS_Time,"&lt;="&amp;($D98-CONVERT(Variables!$C$12+1,"sec","day")),POS_Q,"&lt;="&amp;Variables!$C$11))</f>
        <v/>
      </c>
      <c r="O98" s="31" t="str">
        <f>IF($B98="","",AVERAGEIFS(sdu,POS_Time,"&gt;="&amp;($C98+CONVERT(Variables!$C$12,"sec","day")),POS_Time,"&lt;="&amp;($D98-CONVERT(Variables!$C$12+1,"sec","day")),POS_Q,"&lt;="&amp;Variables!$C$11))</f>
        <v/>
      </c>
      <c r="P98" s="32" t="str">
        <f t="array" ref="P98">IF($B98="","",STDEV(IF(POS_Time&gt;=($C98+CONVERT(Variables!$C$12,"sec","day")),IF(POS_Time&lt;=($D98-CONVERT(Variables!$C$12+1,"sec","day")),IF(POS_Q&lt;=Variables!$C$11,POS_Lat)))))</f>
        <v/>
      </c>
      <c r="Q98" s="32" t="str">
        <f t="array" ref="Q98">IF($B98="","",STDEV(IF(POS_Time&gt;=($C98+CONVERT(Variables!$C$12,"sec","day")),IF(POS_Time&lt;=($D98-CONVERT(Variables!$C$12+1,"sec","day")),IF(POS_Q&lt;=Variables!$C$11,POS_Long)))))</f>
        <v/>
      </c>
      <c r="R98" s="32" t="str">
        <f t="array" ref="R98">IF($B98="","",STDEV(IF(POS_Time&gt;=($C98+CONVERT(Variables!$C$12,"sec","day")),IF(POS_Time&lt;=($D98-CONVERT(Variables!$C$12+1,"sec","day")),IF(POS_Q&lt;=Variables!$C$11,POS_elev)))))</f>
        <v/>
      </c>
      <c r="S98" s="30" t="str">
        <f>IF($B98="","",'Rover CSV Data'!K98)</f>
        <v/>
      </c>
      <c r="T98" s="26" t="str">
        <f>IF($B98="","",COUNTIFS(POS_Time,"&gt;="&amp;($C98+CONVERT(Variables!$C$12,"sec","day")),POS_Time,"&lt;="&amp;($D98-CONVERT(Variables!$C$12+1,"sec","day")),POS_Q,"&lt;="&amp;Variables!$C$11))</f>
        <v/>
      </c>
      <c r="U98" s="26" t="str">
        <f>IF($B98="","",IF(1&gt;Variables!$C$11,0,COUNTIFS(POS_Time,"&gt;="&amp;($C98+CONVERT(Variables!$C$12,"sec","day")),POS_Time,"&lt;="&amp;($D98-CONVERT(Variables!$C$12+1,"sec","day")),POS_Q,"=1")))</f>
        <v/>
      </c>
      <c r="V98" s="26" t="str">
        <f>IF($B98="","",IF(2&gt;Variables!$C$11,0,COUNTIFS(POS_Time,"&gt;="&amp;($C98+CONVERT(Variables!$C$12,"sec","day")),POS_Time,"&lt;="&amp;($D98-CONVERT(Variables!$C$12+1,"sec","day")),POS_Q,"=2")))</f>
        <v/>
      </c>
      <c r="W98" s="26" t="str">
        <f>IF($B98="","",IF(3&gt;Variables!$C$11,0,COUNTIFS(POS_Time,"&gt;="&amp;($C98+CONVERT(Variables!$C$12,"sec","day")),POS_Time,"&lt;="&amp;($D98-CONVERT(Variables!$C$12+1,"sec","day")),POS_Q,"=3")))</f>
        <v/>
      </c>
      <c r="X98" s="26" t="str">
        <f>IF($B98="","",IF(4&gt;Variables!$C$11,0,COUNTIFS(POS_Time,"&gt;="&amp;($C98+CONVERT(Variables!$C$12,"sec","day")),POS_Time,"&lt;="&amp;($D98-CONVERT(Variables!$C$12+1,"sec","day")),POS_Q,"=4")))</f>
        <v/>
      </c>
      <c r="Y98" s="26" t="str">
        <f>IF($B98="","",IF(5&gt;Variables!$C$11,0,COUNTIFS(POS_Time,"&gt;="&amp;($C98+CONVERT(Variables!$C$12,"sec","day")),POS_Time,"&lt;="&amp;($D98-CONVERT(Variables!$C$12+1,"sec","day")),POS_Q,"=5")))</f>
        <v/>
      </c>
      <c r="Z98" s="26" t="str">
        <f>IF($B98="","",IF(6&gt;Variables!$C$11,0,COUNTIFS(POS_Time,"&gt;="&amp;($C98+CONVERT(Variables!$C$12,"sec","day")),POS_Time,"&lt;="&amp;($D98-CONVERT(Variables!$C$12+1,"sec","day")),POS_Q,"=6")))</f>
        <v/>
      </c>
    </row>
    <row r="99" spans="1:26" x14ac:dyDescent="0.25">
      <c r="A99" s="2">
        <v>98</v>
      </c>
      <c r="B99" s="27" t="str">
        <f>IF((ROW()-1)&lt;=RoverStations,'Rover CSV Data'!B99,"")</f>
        <v/>
      </c>
      <c r="C99" s="28" t="str">
        <f>IF($B99="","",DATEVALUE(LEFT('Rover CSV Data'!F99,FIND(" ",'Rover CSV Data'!F99)-1))+TIMEVALUE(MID('Rover CSV Data'!F99,LEN('Rover CSV Data'!F99)-FIND(" ",'Rover CSV Data'!F99),(FIND(" UTC",'Rover CSV Data'!F99))-(LEN('Rover CSV Data'!F99)-FIND(" ",'Rover CSV Data'!F99)))))</f>
        <v/>
      </c>
      <c r="D99" s="28" t="str">
        <f>IF($B99="","",DATEVALUE(LEFT('Rover CSV Data'!G99,FIND(" ",'Rover CSV Data'!G99)-1))+TIMEVALUE(MID('Rover CSV Data'!G99,LEN('Rover CSV Data'!G99)-FIND(" ",'Rover CSV Data'!G99),(FIND(" UTC",'Rover CSV Data'!G99))-(LEN('Rover CSV Data'!G99)-FIND(" ",'Rover CSV Data'!G99)))))</f>
        <v/>
      </c>
      <c r="E99" s="29" t="str">
        <f t="shared" si="2"/>
        <v/>
      </c>
      <c r="F99" s="26" t="str">
        <f>IF($B99="","",'Rover CSV Data'!J99)</f>
        <v/>
      </c>
      <c r="G99" s="26" t="str">
        <f>IF($B99="","",AVERAGEIFS(POS_Lat,POS_Time,"&gt;="&amp;($C99+CONVERT(Variables!$C$12,"sec","day")),POS_Time,"&lt;="&amp;($D99-CONVERT(Variables!$C$12+1,"sec","day")),POS_Q,"&lt;="&amp;Variables!$C$11))</f>
        <v/>
      </c>
      <c r="H99" s="26" t="str">
        <f>IF($B99="","",AVERAGEIFS(POS_Long,POS_Time,"&gt;="&amp;($C99+CONVERT(Variables!$C$12,"sec","day")),POS_Time,"&lt;="&amp;($D99-CONVERT(Variables!$C$12+1,"sec","day")),POS_Q,"&lt;="&amp;Variables!$C$11))</f>
        <v/>
      </c>
      <c r="I99" s="30" t="str">
        <f>IF($B99="","",AVERAGEIFS(POS_elev,POS_Time,"&gt;="&amp;($C99+CONVERT(Variables!$C$12,"sec","day")),POS_Time,"&lt;="&amp;($D99-CONVERT(Variables!$C$12+1,"sec","day")),POS_Q,"&lt;="&amp;Variables!$C$11)-S99)</f>
        <v/>
      </c>
      <c r="J99" s="26" t="str">
        <f>IF($B99="","",'Rover CSV Data'!D99)</f>
        <v/>
      </c>
      <c r="K99" s="26" t="str">
        <f>IF($B99="","",'Rover CSV Data'!C99)</f>
        <v/>
      </c>
      <c r="L99" s="26" t="str">
        <f>IF($B99="","",'Rover CSV Data'!E99)</f>
        <v/>
      </c>
      <c r="M99" s="30" t="str">
        <f>IF($B99="","",AVERAGEIFS(sdn,POS_Time,"&gt;="&amp;($C99+CONVERT(Variables!$C$12,"sec","day")),POS_Time,"&lt;="&amp;($D99-CONVERT(Variables!$C$12+1,"sec","day")),POS_Q,"&lt;="&amp;Variables!$C$11))</f>
        <v/>
      </c>
      <c r="N99" s="31" t="str">
        <f>IF($B99="","",AVERAGEIFS(sde,POS_Time,"&gt;="&amp;($C99+CONVERT(Variables!$C$12,"sec","day")),POS_Time,"&lt;="&amp;($D99-CONVERT(Variables!$C$12+1,"sec","day")),POS_Q,"&lt;="&amp;Variables!$C$11))</f>
        <v/>
      </c>
      <c r="O99" s="31" t="str">
        <f>IF($B99="","",AVERAGEIFS(sdu,POS_Time,"&gt;="&amp;($C99+CONVERT(Variables!$C$12,"sec","day")),POS_Time,"&lt;="&amp;($D99-CONVERT(Variables!$C$12+1,"sec","day")),POS_Q,"&lt;="&amp;Variables!$C$11))</f>
        <v/>
      </c>
      <c r="P99" s="32" t="str">
        <f t="array" ref="P99">IF($B99="","",STDEV(IF(POS_Time&gt;=($C99+CONVERT(Variables!$C$12,"sec","day")),IF(POS_Time&lt;=($D99-CONVERT(Variables!$C$12+1,"sec","day")),IF(POS_Q&lt;=Variables!$C$11,POS_Lat)))))</f>
        <v/>
      </c>
      <c r="Q99" s="32" t="str">
        <f t="array" ref="Q99">IF($B99="","",STDEV(IF(POS_Time&gt;=($C99+CONVERT(Variables!$C$12,"sec","day")),IF(POS_Time&lt;=($D99-CONVERT(Variables!$C$12+1,"sec","day")),IF(POS_Q&lt;=Variables!$C$11,POS_Long)))))</f>
        <v/>
      </c>
      <c r="R99" s="32" t="str">
        <f t="array" ref="R99">IF($B99="","",STDEV(IF(POS_Time&gt;=($C99+CONVERT(Variables!$C$12,"sec","day")),IF(POS_Time&lt;=($D99-CONVERT(Variables!$C$12+1,"sec","day")),IF(POS_Q&lt;=Variables!$C$11,POS_elev)))))</f>
        <v/>
      </c>
      <c r="S99" s="30" t="str">
        <f>IF($B99="","",'Rover CSV Data'!K99)</f>
        <v/>
      </c>
      <c r="T99" s="26" t="str">
        <f>IF($B99="","",COUNTIFS(POS_Time,"&gt;="&amp;($C99+CONVERT(Variables!$C$12,"sec","day")),POS_Time,"&lt;="&amp;($D99-CONVERT(Variables!$C$12+1,"sec","day")),POS_Q,"&lt;="&amp;Variables!$C$11))</f>
        <v/>
      </c>
      <c r="U99" s="26" t="str">
        <f>IF($B99="","",IF(1&gt;Variables!$C$11,0,COUNTIFS(POS_Time,"&gt;="&amp;($C99+CONVERT(Variables!$C$12,"sec","day")),POS_Time,"&lt;="&amp;($D99-CONVERT(Variables!$C$12+1,"sec","day")),POS_Q,"=1")))</f>
        <v/>
      </c>
      <c r="V99" s="26" t="str">
        <f>IF($B99="","",IF(2&gt;Variables!$C$11,0,COUNTIFS(POS_Time,"&gt;="&amp;($C99+CONVERT(Variables!$C$12,"sec","day")),POS_Time,"&lt;="&amp;($D99-CONVERT(Variables!$C$12+1,"sec","day")),POS_Q,"=2")))</f>
        <v/>
      </c>
      <c r="W99" s="26" t="str">
        <f>IF($B99="","",IF(3&gt;Variables!$C$11,0,COUNTIFS(POS_Time,"&gt;="&amp;($C99+CONVERT(Variables!$C$12,"sec","day")),POS_Time,"&lt;="&amp;($D99-CONVERT(Variables!$C$12+1,"sec","day")),POS_Q,"=3")))</f>
        <v/>
      </c>
      <c r="X99" s="26" t="str">
        <f>IF($B99="","",IF(4&gt;Variables!$C$11,0,COUNTIFS(POS_Time,"&gt;="&amp;($C99+CONVERT(Variables!$C$12,"sec","day")),POS_Time,"&lt;="&amp;($D99-CONVERT(Variables!$C$12+1,"sec","day")),POS_Q,"=4")))</f>
        <v/>
      </c>
      <c r="Y99" s="26" t="str">
        <f>IF($B99="","",IF(5&gt;Variables!$C$11,0,COUNTIFS(POS_Time,"&gt;="&amp;($C99+CONVERT(Variables!$C$12,"sec","day")),POS_Time,"&lt;="&amp;($D99-CONVERT(Variables!$C$12+1,"sec","day")),POS_Q,"=5")))</f>
        <v/>
      </c>
      <c r="Z99" s="26" t="str">
        <f>IF($B99="","",IF(6&gt;Variables!$C$11,0,COUNTIFS(POS_Time,"&gt;="&amp;($C99+CONVERT(Variables!$C$12,"sec","day")),POS_Time,"&lt;="&amp;($D99-CONVERT(Variables!$C$12+1,"sec","day")),POS_Q,"=6")))</f>
        <v/>
      </c>
    </row>
    <row r="100" spans="1:26" x14ac:dyDescent="0.25">
      <c r="A100" s="2">
        <v>99</v>
      </c>
      <c r="B100" s="27" t="str">
        <f>IF((ROW()-1)&lt;=RoverStations,'Rover CSV Data'!B100,"")</f>
        <v/>
      </c>
      <c r="C100" s="28" t="str">
        <f>IF($B100="","",DATEVALUE(LEFT('Rover CSV Data'!F100,FIND(" ",'Rover CSV Data'!F100)-1))+TIMEVALUE(MID('Rover CSV Data'!F100,LEN('Rover CSV Data'!F100)-FIND(" ",'Rover CSV Data'!F100),(FIND(" UTC",'Rover CSV Data'!F100))-(LEN('Rover CSV Data'!F100)-FIND(" ",'Rover CSV Data'!F100)))))</f>
        <v/>
      </c>
      <c r="D100" s="28" t="str">
        <f>IF($B100="","",DATEVALUE(LEFT('Rover CSV Data'!G100,FIND(" ",'Rover CSV Data'!G100)-1))+TIMEVALUE(MID('Rover CSV Data'!G100,LEN('Rover CSV Data'!G100)-FIND(" ",'Rover CSV Data'!G100),(FIND(" UTC",'Rover CSV Data'!G100))-(LEN('Rover CSV Data'!G100)-FIND(" ",'Rover CSV Data'!G100)))))</f>
        <v/>
      </c>
      <c r="E100" s="29" t="str">
        <f t="shared" si="2"/>
        <v/>
      </c>
      <c r="F100" s="26" t="str">
        <f>IF($B100="","",'Rover CSV Data'!J100)</f>
        <v/>
      </c>
      <c r="G100" s="26" t="str">
        <f>IF($B100="","",AVERAGEIFS(POS_Lat,POS_Time,"&gt;="&amp;($C100+CONVERT(Variables!$C$12,"sec","day")),POS_Time,"&lt;="&amp;($D100-CONVERT(Variables!$C$12+1,"sec","day")),POS_Q,"&lt;="&amp;Variables!$C$11))</f>
        <v/>
      </c>
      <c r="H100" s="26" t="str">
        <f>IF($B100="","",AVERAGEIFS(POS_Long,POS_Time,"&gt;="&amp;($C100+CONVERT(Variables!$C$12,"sec","day")),POS_Time,"&lt;="&amp;($D100-CONVERT(Variables!$C$12+1,"sec","day")),POS_Q,"&lt;="&amp;Variables!$C$11))</f>
        <v/>
      </c>
      <c r="I100" s="30" t="str">
        <f>IF($B100="","",AVERAGEIFS(POS_elev,POS_Time,"&gt;="&amp;($C100+CONVERT(Variables!$C$12,"sec","day")),POS_Time,"&lt;="&amp;($D100-CONVERT(Variables!$C$12+1,"sec","day")),POS_Q,"&lt;="&amp;Variables!$C$11)-S100)</f>
        <v/>
      </c>
      <c r="J100" s="26" t="str">
        <f>IF($B100="","",'Rover CSV Data'!D100)</f>
        <v/>
      </c>
      <c r="K100" s="26" t="str">
        <f>IF($B100="","",'Rover CSV Data'!C100)</f>
        <v/>
      </c>
      <c r="L100" s="26" t="str">
        <f>IF($B100="","",'Rover CSV Data'!E100)</f>
        <v/>
      </c>
      <c r="M100" s="30" t="str">
        <f>IF($B100="","",AVERAGEIFS(sdn,POS_Time,"&gt;="&amp;($C100+CONVERT(Variables!$C$12,"sec","day")),POS_Time,"&lt;="&amp;($D100-CONVERT(Variables!$C$12+1,"sec","day")),POS_Q,"&lt;="&amp;Variables!$C$11))</f>
        <v/>
      </c>
      <c r="N100" s="31" t="str">
        <f>IF($B100="","",AVERAGEIFS(sde,POS_Time,"&gt;="&amp;($C100+CONVERT(Variables!$C$12,"sec","day")),POS_Time,"&lt;="&amp;($D100-CONVERT(Variables!$C$12+1,"sec","day")),POS_Q,"&lt;="&amp;Variables!$C$11))</f>
        <v/>
      </c>
      <c r="O100" s="31" t="str">
        <f>IF($B100="","",AVERAGEIFS(sdu,POS_Time,"&gt;="&amp;($C100+CONVERT(Variables!$C$12,"sec","day")),POS_Time,"&lt;="&amp;($D100-CONVERT(Variables!$C$12+1,"sec","day")),POS_Q,"&lt;="&amp;Variables!$C$11))</f>
        <v/>
      </c>
      <c r="P100" s="32" t="str">
        <f t="array" ref="P100">IF($B100="","",STDEV(IF(POS_Time&gt;=($C100+CONVERT(Variables!$C$12,"sec","day")),IF(POS_Time&lt;=($D100-CONVERT(Variables!$C$12+1,"sec","day")),IF(POS_Q&lt;=Variables!$C$11,POS_Lat)))))</f>
        <v/>
      </c>
      <c r="Q100" s="32" t="str">
        <f t="array" ref="Q100">IF($B100="","",STDEV(IF(POS_Time&gt;=($C100+CONVERT(Variables!$C$12,"sec","day")),IF(POS_Time&lt;=($D100-CONVERT(Variables!$C$12+1,"sec","day")),IF(POS_Q&lt;=Variables!$C$11,POS_Long)))))</f>
        <v/>
      </c>
      <c r="R100" s="32" t="str">
        <f t="array" ref="R100">IF($B100="","",STDEV(IF(POS_Time&gt;=($C100+CONVERT(Variables!$C$12,"sec","day")),IF(POS_Time&lt;=($D100-CONVERT(Variables!$C$12+1,"sec","day")),IF(POS_Q&lt;=Variables!$C$11,POS_elev)))))</f>
        <v/>
      </c>
      <c r="S100" s="30" t="str">
        <f>IF($B100="","",'Rover CSV Data'!K100)</f>
        <v/>
      </c>
      <c r="T100" s="26" t="str">
        <f>IF($B100="","",COUNTIFS(POS_Time,"&gt;="&amp;($C100+CONVERT(Variables!$C$12,"sec","day")),POS_Time,"&lt;="&amp;($D100-CONVERT(Variables!$C$12+1,"sec","day")),POS_Q,"&lt;="&amp;Variables!$C$11))</f>
        <v/>
      </c>
      <c r="U100" s="26" t="str">
        <f>IF($B100="","",IF(1&gt;Variables!$C$11,0,COUNTIFS(POS_Time,"&gt;="&amp;($C100+CONVERT(Variables!$C$12,"sec","day")),POS_Time,"&lt;="&amp;($D100-CONVERT(Variables!$C$12+1,"sec","day")),POS_Q,"=1")))</f>
        <v/>
      </c>
      <c r="V100" s="26" t="str">
        <f>IF($B100="","",IF(2&gt;Variables!$C$11,0,COUNTIFS(POS_Time,"&gt;="&amp;($C100+CONVERT(Variables!$C$12,"sec","day")),POS_Time,"&lt;="&amp;($D100-CONVERT(Variables!$C$12+1,"sec","day")),POS_Q,"=2")))</f>
        <v/>
      </c>
      <c r="W100" s="26" t="str">
        <f>IF($B100="","",IF(3&gt;Variables!$C$11,0,COUNTIFS(POS_Time,"&gt;="&amp;($C100+CONVERT(Variables!$C$12,"sec","day")),POS_Time,"&lt;="&amp;($D100-CONVERT(Variables!$C$12+1,"sec","day")),POS_Q,"=3")))</f>
        <v/>
      </c>
      <c r="X100" s="26" t="str">
        <f>IF($B100="","",IF(4&gt;Variables!$C$11,0,COUNTIFS(POS_Time,"&gt;="&amp;($C100+CONVERT(Variables!$C$12,"sec","day")),POS_Time,"&lt;="&amp;($D100-CONVERT(Variables!$C$12+1,"sec","day")),POS_Q,"=4")))</f>
        <v/>
      </c>
      <c r="Y100" s="26" t="str">
        <f>IF($B100="","",IF(5&gt;Variables!$C$11,0,COUNTIFS(POS_Time,"&gt;="&amp;($C100+CONVERT(Variables!$C$12,"sec","day")),POS_Time,"&lt;="&amp;($D100-CONVERT(Variables!$C$12+1,"sec","day")),POS_Q,"=5")))</f>
        <v/>
      </c>
      <c r="Z100" s="26" t="str">
        <f>IF($B100="","",IF(6&gt;Variables!$C$11,0,COUNTIFS(POS_Time,"&gt;="&amp;($C100+CONVERT(Variables!$C$12,"sec","day")),POS_Time,"&lt;="&amp;($D100-CONVERT(Variables!$C$12+1,"sec","day")),POS_Q,"=6")))</f>
        <v/>
      </c>
    </row>
    <row r="101" spans="1:26" x14ac:dyDescent="0.25">
      <c r="A101" s="2">
        <v>100</v>
      </c>
      <c r="B101" s="27" t="str">
        <f>IF((ROW()-1)&lt;=RoverStations,'Rover CSV Data'!B101,"")</f>
        <v/>
      </c>
      <c r="C101" s="28" t="str">
        <f>IF($B101="","",DATEVALUE(LEFT('Rover CSV Data'!F101,FIND(" ",'Rover CSV Data'!F101)-1))+TIMEVALUE(MID('Rover CSV Data'!F101,LEN('Rover CSV Data'!F101)-FIND(" ",'Rover CSV Data'!F101),(FIND(" UTC",'Rover CSV Data'!F101))-(LEN('Rover CSV Data'!F101)-FIND(" ",'Rover CSV Data'!F101)))))</f>
        <v/>
      </c>
      <c r="D101" s="28" t="str">
        <f>IF($B101="","",DATEVALUE(LEFT('Rover CSV Data'!G101,FIND(" ",'Rover CSV Data'!G101)-1))+TIMEVALUE(MID('Rover CSV Data'!G101,LEN('Rover CSV Data'!G101)-FIND(" ",'Rover CSV Data'!G101),(FIND(" UTC",'Rover CSV Data'!G101))-(LEN('Rover CSV Data'!G101)-FIND(" ",'Rover CSV Data'!G101)))))</f>
        <v/>
      </c>
      <c r="E101" s="29" t="str">
        <f t="shared" si="2"/>
        <v/>
      </c>
      <c r="F101" s="26" t="str">
        <f>IF($B101="","",'Rover CSV Data'!J101)</f>
        <v/>
      </c>
      <c r="G101" s="26" t="str">
        <f>IF($B101="","",AVERAGEIFS(POS_Lat,POS_Time,"&gt;="&amp;($C101+CONVERT(Variables!$C$12,"sec","day")),POS_Time,"&lt;="&amp;($D101-CONVERT(Variables!$C$12+1,"sec","day")),POS_Q,"&lt;="&amp;Variables!$C$11))</f>
        <v/>
      </c>
      <c r="H101" s="26" t="str">
        <f>IF($B101="","",AVERAGEIFS(POS_Long,POS_Time,"&gt;="&amp;($C101+CONVERT(Variables!$C$12,"sec","day")),POS_Time,"&lt;="&amp;($D101-CONVERT(Variables!$C$12+1,"sec","day")),POS_Q,"&lt;="&amp;Variables!$C$11))</f>
        <v/>
      </c>
      <c r="I101" s="30" t="str">
        <f>IF($B101="","",AVERAGEIFS(POS_elev,POS_Time,"&gt;="&amp;($C101+CONVERT(Variables!$C$12,"sec","day")),POS_Time,"&lt;="&amp;($D101-CONVERT(Variables!$C$12+1,"sec","day")),POS_Q,"&lt;="&amp;Variables!$C$11)-S101)</f>
        <v/>
      </c>
      <c r="J101" s="26" t="str">
        <f>IF($B101="","",'Rover CSV Data'!D101)</f>
        <v/>
      </c>
      <c r="K101" s="26" t="str">
        <f>IF($B101="","",'Rover CSV Data'!C101)</f>
        <v/>
      </c>
      <c r="L101" s="26" t="str">
        <f>IF($B101="","",'Rover CSV Data'!E101)</f>
        <v/>
      </c>
      <c r="M101" s="30" t="str">
        <f>IF($B101="","",AVERAGEIFS(sdn,POS_Time,"&gt;="&amp;($C101+CONVERT(Variables!$C$12,"sec","day")),POS_Time,"&lt;="&amp;($D101-CONVERT(Variables!$C$12+1,"sec","day")),POS_Q,"&lt;="&amp;Variables!$C$11))</f>
        <v/>
      </c>
      <c r="N101" s="31" t="str">
        <f>IF($B101="","",AVERAGEIFS(sde,POS_Time,"&gt;="&amp;($C101+CONVERT(Variables!$C$12,"sec","day")),POS_Time,"&lt;="&amp;($D101-CONVERT(Variables!$C$12+1,"sec","day")),POS_Q,"&lt;="&amp;Variables!$C$11))</f>
        <v/>
      </c>
      <c r="O101" s="31" t="str">
        <f>IF($B101="","",AVERAGEIFS(sdu,POS_Time,"&gt;="&amp;($C101+CONVERT(Variables!$C$12,"sec","day")),POS_Time,"&lt;="&amp;($D101-CONVERT(Variables!$C$12+1,"sec","day")),POS_Q,"&lt;="&amp;Variables!$C$11))</f>
        <v/>
      </c>
      <c r="P101" s="32" t="str">
        <f t="array" ref="P101">IF($B101="","",STDEV(IF(POS_Time&gt;=($C101+CONVERT(Variables!$C$12,"sec","day")),IF(POS_Time&lt;=($D101-CONVERT(Variables!$C$12+1,"sec","day")),IF(POS_Q&lt;=Variables!$C$11,POS_Lat)))))</f>
        <v/>
      </c>
      <c r="Q101" s="32" t="str">
        <f t="array" ref="Q101">IF($B101="","",STDEV(IF(POS_Time&gt;=($C101+CONVERT(Variables!$C$12,"sec","day")),IF(POS_Time&lt;=($D101-CONVERT(Variables!$C$12+1,"sec","day")),IF(POS_Q&lt;=Variables!$C$11,POS_Long)))))</f>
        <v/>
      </c>
      <c r="R101" s="32" t="str">
        <f t="array" ref="R101">IF($B101="","",STDEV(IF(POS_Time&gt;=($C101+CONVERT(Variables!$C$12,"sec","day")),IF(POS_Time&lt;=($D101-CONVERT(Variables!$C$12+1,"sec","day")),IF(POS_Q&lt;=Variables!$C$11,POS_elev)))))</f>
        <v/>
      </c>
      <c r="S101" s="30" t="str">
        <f>IF($B101="","",'Rover CSV Data'!K101)</f>
        <v/>
      </c>
      <c r="T101" s="26" t="str">
        <f>IF($B101="","",COUNTIFS(POS_Time,"&gt;="&amp;($C101+CONVERT(Variables!$C$12,"sec","day")),POS_Time,"&lt;="&amp;($D101-CONVERT(Variables!$C$12+1,"sec","day")),POS_Q,"&lt;="&amp;Variables!$C$11))</f>
        <v/>
      </c>
      <c r="U101" s="26" t="str">
        <f>IF($B101="","",IF(1&gt;Variables!$C$11,0,COUNTIFS(POS_Time,"&gt;="&amp;($C101+CONVERT(Variables!$C$12,"sec","day")),POS_Time,"&lt;="&amp;($D101-CONVERT(Variables!$C$12+1,"sec","day")),POS_Q,"=1")))</f>
        <v/>
      </c>
      <c r="V101" s="26" t="str">
        <f>IF($B101="","",IF(2&gt;Variables!$C$11,0,COUNTIFS(POS_Time,"&gt;="&amp;($C101+CONVERT(Variables!$C$12,"sec","day")),POS_Time,"&lt;="&amp;($D101-CONVERT(Variables!$C$12+1,"sec","day")),POS_Q,"=2")))</f>
        <v/>
      </c>
      <c r="W101" s="26" t="str">
        <f>IF($B101="","",IF(3&gt;Variables!$C$11,0,COUNTIFS(POS_Time,"&gt;="&amp;($C101+CONVERT(Variables!$C$12,"sec","day")),POS_Time,"&lt;="&amp;($D101-CONVERT(Variables!$C$12+1,"sec","day")),POS_Q,"=3")))</f>
        <v/>
      </c>
      <c r="X101" s="26" t="str">
        <f>IF($B101="","",IF(4&gt;Variables!$C$11,0,COUNTIFS(POS_Time,"&gt;="&amp;($C101+CONVERT(Variables!$C$12,"sec","day")),POS_Time,"&lt;="&amp;($D101-CONVERT(Variables!$C$12+1,"sec","day")),POS_Q,"=4")))</f>
        <v/>
      </c>
      <c r="Y101" s="26" t="str">
        <f>IF($B101="","",IF(5&gt;Variables!$C$11,0,COUNTIFS(POS_Time,"&gt;="&amp;($C101+CONVERT(Variables!$C$12,"sec","day")),POS_Time,"&lt;="&amp;($D101-CONVERT(Variables!$C$12+1,"sec","day")),POS_Q,"=5")))</f>
        <v/>
      </c>
      <c r="Z101" s="26" t="str">
        <f>IF($B101="","",IF(6&gt;Variables!$C$11,0,COUNTIFS(POS_Time,"&gt;="&amp;($C101+CONVERT(Variables!$C$12,"sec","day")),POS_Time,"&lt;="&amp;($D101-CONVERT(Variables!$C$12+1,"sec","day")),POS_Q,"=6")))</f>
        <v/>
      </c>
    </row>
    <row r="102" spans="1:26" x14ac:dyDescent="0.25">
      <c r="A102" s="2">
        <v>101</v>
      </c>
      <c r="B102" s="27" t="str">
        <f>IF((ROW()-1)&lt;=RoverStations,'Rover CSV Data'!B102,"")</f>
        <v/>
      </c>
      <c r="C102" s="28" t="str">
        <f>IF($B102="","",DATEVALUE(LEFT('Rover CSV Data'!F102,FIND(" ",'Rover CSV Data'!F102)-1))+TIMEVALUE(MID('Rover CSV Data'!F102,LEN('Rover CSV Data'!F102)-FIND(" ",'Rover CSV Data'!F102),(FIND(" UTC",'Rover CSV Data'!F102))-(LEN('Rover CSV Data'!F102)-FIND(" ",'Rover CSV Data'!F102)))))</f>
        <v/>
      </c>
      <c r="D102" s="28" t="str">
        <f>IF($B102="","",DATEVALUE(LEFT('Rover CSV Data'!G102,FIND(" ",'Rover CSV Data'!G102)-1))+TIMEVALUE(MID('Rover CSV Data'!G102,LEN('Rover CSV Data'!G102)-FIND(" ",'Rover CSV Data'!G102),(FIND(" UTC",'Rover CSV Data'!G102))-(LEN('Rover CSV Data'!G102)-FIND(" ",'Rover CSV Data'!G102)))))</f>
        <v/>
      </c>
      <c r="E102" s="29" t="str">
        <f t="shared" si="2"/>
        <v/>
      </c>
      <c r="F102" s="26" t="str">
        <f>IF($B102="","",'Rover CSV Data'!J102)</f>
        <v/>
      </c>
      <c r="G102" s="26" t="str">
        <f>IF($B102="","",AVERAGEIFS(POS_Lat,POS_Time,"&gt;="&amp;($C102+CONVERT(Variables!$C$12,"sec","day")),POS_Time,"&lt;="&amp;($D102-CONVERT(Variables!$C$12+1,"sec","day")),POS_Q,"&lt;="&amp;Variables!$C$11))</f>
        <v/>
      </c>
      <c r="H102" s="26" t="str">
        <f>IF($B102="","",AVERAGEIFS(POS_Long,POS_Time,"&gt;="&amp;($C102+CONVERT(Variables!$C$12,"sec","day")),POS_Time,"&lt;="&amp;($D102-CONVERT(Variables!$C$12+1,"sec","day")),POS_Q,"&lt;="&amp;Variables!$C$11))</f>
        <v/>
      </c>
      <c r="I102" s="30" t="str">
        <f>IF($B102="","",AVERAGEIFS(POS_elev,POS_Time,"&gt;="&amp;($C102+CONVERT(Variables!$C$12,"sec","day")),POS_Time,"&lt;="&amp;($D102-CONVERT(Variables!$C$12+1,"sec","day")),POS_Q,"&lt;="&amp;Variables!$C$11)-S102)</f>
        <v/>
      </c>
      <c r="J102" s="26" t="str">
        <f>IF($B102="","",'Rover CSV Data'!D102)</f>
        <v/>
      </c>
      <c r="K102" s="26" t="str">
        <f>IF($B102="","",'Rover CSV Data'!C102)</f>
        <v/>
      </c>
      <c r="L102" s="26" t="str">
        <f>IF($B102="","",'Rover CSV Data'!E102)</f>
        <v/>
      </c>
      <c r="M102" s="30" t="str">
        <f>IF($B102="","",AVERAGEIFS(sdn,POS_Time,"&gt;="&amp;($C102+CONVERT(Variables!$C$12,"sec","day")),POS_Time,"&lt;="&amp;($D102-CONVERT(Variables!$C$12+1,"sec","day")),POS_Q,"&lt;="&amp;Variables!$C$11))</f>
        <v/>
      </c>
      <c r="N102" s="31" t="str">
        <f>IF($B102="","",AVERAGEIFS(sde,POS_Time,"&gt;="&amp;($C102+CONVERT(Variables!$C$12,"sec","day")),POS_Time,"&lt;="&amp;($D102-CONVERT(Variables!$C$12+1,"sec","day")),POS_Q,"&lt;="&amp;Variables!$C$11))</f>
        <v/>
      </c>
      <c r="O102" s="31" t="str">
        <f>IF($B102="","",AVERAGEIFS(sdu,POS_Time,"&gt;="&amp;($C102+CONVERT(Variables!$C$12,"sec","day")),POS_Time,"&lt;="&amp;($D102-CONVERT(Variables!$C$12+1,"sec","day")),POS_Q,"&lt;="&amp;Variables!$C$11))</f>
        <v/>
      </c>
      <c r="P102" s="32" t="str">
        <f t="array" ref="P102">IF($B102="","",STDEV(IF(POS_Time&gt;=($C102+CONVERT(Variables!$C$12,"sec","day")),IF(POS_Time&lt;=($D102-CONVERT(Variables!$C$12+1,"sec","day")),IF(POS_Q&lt;=Variables!$C$11,POS_Lat)))))</f>
        <v/>
      </c>
      <c r="Q102" s="32" t="str">
        <f t="array" ref="Q102">IF($B102="","",STDEV(IF(POS_Time&gt;=($C102+CONVERT(Variables!$C$12,"sec","day")),IF(POS_Time&lt;=($D102-CONVERT(Variables!$C$12+1,"sec","day")),IF(POS_Q&lt;=Variables!$C$11,POS_Long)))))</f>
        <v/>
      </c>
      <c r="R102" s="32" t="str">
        <f t="array" ref="R102">IF($B102="","",STDEV(IF(POS_Time&gt;=($C102+CONVERT(Variables!$C$12,"sec","day")),IF(POS_Time&lt;=($D102-CONVERT(Variables!$C$12+1,"sec","day")),IF(POS_Q&lt;=Variables!$C$11,POS_elev)))))</f>
        <v/>
      </c>
      <c r="S102" s="30" t="str">
        <f>IF($B102="","",'Rover CSV Data'!K102)</f>
        <v/>
      </c>
      <c r="T102" s="26" t="str">
        <f>IF($B102="","",COUNTIFS(POS_Time,"&gt;="&amp;($C102+CONVERT(Variables!$C$12,"sec","day")),POS_Time,"&lt;="&amp;($D102-CONVERT(Variables!$C$12+1,"sec","day")),POS_Q,"&lt;="&amp;Variables!$C$11))</f>
        <v/>
      </c>
      <c r="U102" s="26" t="str">
        <f>IF($B102="","",IF(1&gt;Variables!$C$11,0,COUNTIFS(POS_Time,"&gt;="&amp;($C102+CONVERT(Variables!$C$12,"sec","day")),POS_Time,"&lt;="&amp;($D102-CONVERT(Variables!$C$12+1,"sec","day")),POS_Q,"=1")))</f>
        <v/>
      </c>
      <c r="V102" s="26" t="str">
        <f>IF($B102="","",IF(2&gt;Variables!$C$11,0,COUNTIFS(POS_Time,"&gt;="&amp;($C102+CONVERT(Variables!$C$12,"sec","day")),POS_Time,"&lt;="&amp;($D102-CONVERT(Variables!$C$12+1,"sec","day")),POS_Q,"=2")))</f>
        <v/>
      </c>
      <c r="W102" s="26" t="str">
        <f>IF($B102="","",IF(3&gt;Variables!$C$11,0,COUNTIFS(POS_Time,"&gt;="&amp;($C102+CONVERT(Variables!$C$12,"sec","day")),POS_Time,"&lt;="&amp;($D102-CONVERT(Variables!$C$12+1,"sec","day")),POS_Q,"=3")))</f>
        <v/>
      </c>
      <c r="X102" s="26" t="str">
        <f>IF($B102="","",IF(4&gt;Variables!$C$11,0,COUNTIFS(POS_Time,"&gt;="&amp;($C102+CONVERT(Variables!$C$12,"sec","day")),POS_Time,"&lt;="&amp;($D102-CONVERT(Variables!$C$12+1,"sec","day")),POS_Q,"=4")))</f>
        <v/>
      </c>
      <c r="Y102" s="26" t="str">
        <f>IF($B102="","",IF(5&gt;Variables!$C$11,0,COUNTIFS(POS_Time,"&gt;="&amp;($C102+CONVERT(Variables!$C$12,"sec","day")),POS_Time,"&lt;="&amp;($D102-CONVERT(Variables!$C$12+1,"sec","day")),POS_Q,"=5")))</f>
        <v/>
      </c>
      <c r="Z102" s="26" t="str">
        <f>IF($B102="","",IF(6&gt;Variables!$C$11,0,COUNTIFS(POS_Time,"&gt;="&amp;($C102+CONVERT(Variables!$C$12,"sec","day")),POS_Time,"&lt;="&amp;($D102-CONVERT(Variables!$C$12+1,"sec","day")),POS_Q,"=6")))</f>
        <v/>
      </c>
    </row>
    <row r="103" spans="1:26" x14ac:dyDescent="0.25">
      <c r="A103" s="2">
        <v>102</v>
      </c>
      <c r="B103" s="27" t="str">
        <f>IF((ROW()-1)&lt;=RoverStations,'Rover CSV Data'!B103,"")</f>
        <v/>
      </c>
      <c r="C103" s="28" t="str">
        <f>IF($B103="","",DATEVALUE(LEFT('Rover CSV Data'!F103,FIND(" ",'Rover CSV Data'!F103)-1))+TIMEVALUE(MID('Rover CSV Data'!F103,LEN('Rover CSV Data'!F103)-FIND(" ",'Rover CSV Data'!F103),(FIND(" UTC",'Rover CSV Data'!F103))-(LEN('Rover CSV Data'!F103)-FIND(" ",'Rover CSV Data'!F103)))))</f>
        <v/>
      </c>
      <c r="D103" s="28" t="str">
        <f>IF($B103="","",DATEVALUE(LEFT('Rover CSV Data'!G103,FIND(" ",'Rover CSV Data'!G103)-1))+TIMEVALUE(MID('Rover CSV Data'!G103,LEN('Rover CSV Data'!G103)-FIND(" ",'Rover CSV Data'!G103),(FIND(" UTC",'Rover CSV Data'!G103))-(LEN('Rover CSV Data'!G103)-FIND(" ",'Rover CSV Data'!G103)))))</f>
        <v/>
      </c>
      <c r="E103" s="29" t="str">
        <f t="shared" si="2"/>
        <v/>
      </c>
      <c r="F103" s="26" t="str">
        <f>IF($B103="","",'Rover CSV Data'!J103)</f>
        <v/>
      </c>
      <c r="G103" s="26" t="str">
        <f>IF($B103="","",AVERAGEIFS(POS_Lat,POS_Time,"&gt;="&amp;($C103+CONVERT(Variables!$C$12,"sec","day")),POS_Time,"&lt;="&amp;($D103-CONVERT(Variables!$C$12+1,"sec","day")),POS_Q,"&lt;="&amp;Variables!$C$11))</f>
        <v/>
      </c>
      <c r="H103" s="26" t="str">
        <f>IF($B103="","",AVERAGEIFS(POS_Long,POS_Time,"&gt;="&amp;($C103+CONVERT(Variables!$C$12,"sec","day")),POS_Time,"&lt;="&amp;($D103-CONVERT(Variables!$C$12+1,"sec","day")),POS_Q,"&lt;="&amp;Variables!$C$11))</f>
        <v/>
      </c>
      <c r="I103" s="30" t="str">
        <f>IF($B103="","",AVERAGEIFS(POS_elev,POS_Time,"&gt;="&amp;($C103+CONVERT(Variables!$C$12,"sec","day")),POS_Time,"&lt;="&amp;($D103-CONVERT(Variables!$C$12+1,"sec","day")),POS_Q,"&lt;="&amp;Variables!$C$11)-S103)</f>
        <v/>
      </c>
      <c r="J103" s="26" t="str">
        <f>IF($B103="","",'Rover CSV Data'!D103)</f>
        <v/>
      </c>
      <c r="K103" s="26" t="str">
        <f>IF($B103="","",'Rover CSV Data'!C103)</f>
        <v/>
      </c>
      <c r="L103" s="26" t="str">
        <f>IF($B103="","",'Rover CSV Data'!E103)</f>
        <v/>
      </c>
      <c r="M103" s="30" t="str">
        <f>IF($B103="","",AVERAGEIFS(sdn,POS_Time,"&gt;="&amp;($C103+CONVERT(Variables!$C$12,"sec","day")),POS_Time,"&lt;="&amp;($D103-CONVERT(Variables!$C$12+1,"sec","day")),POS_Q,"&lt;="&amp;Variables!$C$11))</f>
        <v/>
      </c>
      <c r="N103" s="31" t="str">
        <f>IF($B103="","",AVERAGEIFS(sde,POS_Time,"&gt;="&amp;($C103+CONVERT(Variables!$C$12,"sec","day")),POS_Time,"&lt;="&amp;($D103-CONVERT(Variables!$C$12+1,"sec","day")),POS_Q,"&lt;="&amp;Variables!$C$11))</f>
        <v/>
      </c>
      <c r="O103" s="31" t="str">
        <f>IF($B103="","",AVERAGEIFS(sdu,POS_Time,"&gt;="&amp;($C103+CONVERT(Variables!$C$12,"sec","day")),POS_Time,"&lt;="&amp;($D103-CONVERT(Variables!$C$12+1,"sec","day")),POS_Q,"&lt;="&amp;Variables!$C$11))</f>
        <v/>
      </c>
      <c r="P103" s="32" t="str">
        <f t="array" ref="P103">IF($B103="","",STDEV(IF(POS_Time&gt;=($C103+CONVERT(Variables!$C$12,"sec","day")),IF(POS_Time&lt;=($D103-CONVERT(Variables!$C$12+1,"sec","day")),IF(POS_Q&lt;=Variables!$C$11,POS_Lat)))))</f>
        <v/>
      </c>
      <c r="Q103" s="32" t="str">
        <f t="array" ref="Q103">IF($B103="","",STDEV(IF(POS_Time&gt;=($C103+CONVERT(Variables!$C$12,"sec","day")),IF(POS_Time&lt;=($D103-CONVERT(Variables!$C$12+1,"sec","day")),IF(POS_Q&lt;=Variables!$C$11,POS_Long)))))</f>
        <v/>
      </c>
      <c r="R103" s="32" t="str">
        <f t="array" ref="R103">IF($B103="","",STDEV(IF(POS_Time&gt;=($C103+CONVERT(Variables!$C$12,"sec","day")),IF(POS_Time&lt;=($D103-CONVERT(Variables!$C$12+1,"sec","day")),IF(POS_Q&lt;=Variables!$C$11,POS_elev)))))</f>
        <v/>
      </c>
      <c r="S103" s="30" t="str">
        <f>IF($B103="","",'Rover CSV Data'!K103)</f>
        <v/>
      </c>
      <c r="T103" s="26" t="str">
        <f>IF($B103="","",COUNTIFS(POS_Time,"&gt;="&amp;($C103+CONVERT(Variables!$C$12,"sec","day")),POS_Time,"&lt;="&amp;($D103-CONVERT(Variables!$C$12+1,"sec","day")),POS_Q,"&lt;="&amp;Variables!$C$11))</f>
        <v/>
      </c>
      <c r="U103" s="26" t="str">
        <f>IF($B103="","",IF(1&gt;Variables!$C$11,0,COUNTIFS(POS_Time,"&gt;="&amp;($C103+CONVERT(Variables!$C$12,"sec","day")),POS_Time,"&lt;="&amp;($D103-CONVERT(Variables!$C$12+1,"sec","day")),POS_Q,"=1")))</f>
        <v/>
      </c>
      <c r="V103" s="26" t="str">
        <f>IF($B103="","",IF(2&gt;Variables!$C$11,0,COUNTIFS(POS_Time,"&gt;="&amp;($C103+CONVERT(Variables!$C$12,"sec","day")),POS_Time,"&lt;="&amp;($D103-CONVERT(Variables!$C$12+1,"sec","day")),POS_Q,"=2")))</f>
        <v/>
      </c>
      <c r="W103" s="26" t="str">
        <f>IF($B103="","",IF(3&gt;Variables!$C$11,0,COUNTIFS(POS_Time,"&gt;="&amp;($C103+CONVERT(Variables!$C$12,"sec","day")),POS_Time,"&lt;="&amp;($D103-CONVERT(Variables!$C$12+1,"sec","day")),POS_Q,"=3")))</f>
        <v/>
      </c>
      <c r="X103" s="26" t="str">
        <f>IF($B103="","",IF(4&gt;Variables!$C$11,0,COUNTIFS(POS_Time,"&gt;="&amp;($C103+CONVERT(Variables!$C$12,"sec","day")),POS_Time,"&lt;="&amp;($D103-CONVERT(Variables!$C$12+1,"sec","day")),POS_Q,"=4")))</f>
        <v/>
      </c>
      <c r="Y103" s="26" t="str">
        <f>IF($B103="","",IF(5&gt;Variables!$C$11,0,COUNTIFS(POS_Time,"&gt;="&amp;($C103+CONVERT(Variables!$C$12,"sec","day")),POS_Time,"&lt;="&amp;($D103-CONVERT(Variables!$C$12+1,"sec","day")),POS_Q,"=5")))</f>
        <v/>
      </c>
      <c r="Z103" s="26" t="str">
        <f>IF($B103="","",IF(6&gt;Variables!$C$11,0,COUNTIFS(POS_Time,"&gt;="&amp;($C103+CONVERT(Variables!$C$12,"sec","day")),POS_Time,"&lt;="&amp;($D103-CONVERT(Variables!$C$12+1,"sec","day")),POS_Q,"=6")))</f>
        <v/>
      </c>
    </row>
    <row r="104" spans="1:26" x14ac:dyDescent="0.25">
      <c r="A104" s="2">
        <v>103</v>
      </c>
      <c r="B104" s="27" t="str">
        <f>IF((ROW()-1)&lt;=RoverStations,'Rover CSV Data'!B104,"")</f>
        <v/>
      </c>
      <c r="C104" s="28" t="str">
        <f>IF($B104="","",DATEVALUE(LEFT('Rover CSV Data'!F104,FIND(" ",'Rover CSV Data'!F104)-1))+TIMEVALUE(MID('Rover CSV Data'!F104,LEN('Rover CSV Data'!F104)-FIND(" ",'Rover CSV Data'!F104),(FIND(" UTC",'Rover CSV Data'!F104))-(LEN('Rover CSV Data'!F104)-FIND(" ",'Rover CSV Data'!F104)))))</f>
        <v/>
      </c>
      <c r="D104" s="28" t="str">
        <f>IF($B104="","",DATEVALUE(LEFT('Rover CSV Data'!G104,FIND(" ",'Rover CSV Data'!G104)-1))+TIMEVALUE(MID('Rover CSV Data'!G104,LEN('Rover CSV Data'!G104)-FIND(" ",'Rover CSV Data'!G104),(FIND(" UTC",'Rover CSV Data'!G104))-(LEN('Rover CSV Data'!G104)-FIND(" ",'Rover CSV Data'!G104)))))</f>
        <v/>
      </c>
      <c r="E104" s="29" t="str">
        <f t="shared" si="2"/>
        <v/>
      </c>
      <c r="F104" s="26" t="str">
        <f>IF($B104="","",'Rover CSV Data'!J104)</f>
        <v/>
      </c>
      <c r="G104" s="26" t="str">
        <f>IF($B104="","",AVERAGEIFS(POS_Lat,POS_Time,"&gt;="&amp;($C104+CONVERT(Variables!$C$12,"sec","day")),POS_Time,"&lt;="&amp;($D104-CONVERT(Variables!$C$12+1,"sec","day")),POS_Q,"&lt;="&amp;Variables!$C$11))</f>
        <v/>
      </c>
      <c r="H104" s="26" t="str">
        <f>IF($B104="","",AVERAGEIFS(POS_Long,POS_Time,"&gt;="&amp;($C104+CONVERT(Variables!$C$12,"sec","day")),POS_Time,"&lt;="&amp;($D104-CONVERT(Variables!$C$12+1,"sec","day")),POS_Q,"&lt;="&amp;Variables!$C$11))</f>
        <v/>
      </c>
      <c r="I104" s="30" t="str">
        <f>IF($B104="","",AVERAGEIFS(POS_elev,POS_Time,"&gt;="&amp;($C104+CONVERT(Variables!$C$12,"sec","day")),POS_Time,"&lt;="&amp;($D104-CONVERT(Variables!$C$12+1,"sec","day")),POS_Q,"&lt;="&amp;Variables!$C$11)-S104)</f>
        <v/>
      </c>
      <c r="J104" s="26" t="str">
        <f>IF($B104="","",'Rover CSV Data'!D104)</f>
        <v/>
      </c>
      <c r="K104" s="26" t="str">
        <f>IF($B104="","",'Rover CSV Data'!C104)</f>
        <v/>
      </c>
      <c r="L104" s="26" t="str">
        <f>IF($B104="","",'Rover CSV Data'!E104)</f>
        <v/>
      </c>
      <c r="M104" s="30" t="str">
        <f>IF($B104="","",AVERAGEIFS(sdn,POS_Time,"&gt;="&amp;($C104+CONVERT(Variables!$C$12,"sec","day")),POS_Time,"&lt;="&amp;($D104-CONVERT(Variables!$C$12+1,"sec","day")),POS_Q,"&lt;="&amp;Variables!$C$11))</f>
        <v/>
      </c>
      <c r="N104" s="31" t="str">
        <f>IF($B104="","",AVERAGEIFS(sde,POS_Time,"&gt;="&amp;($C104+CONVERT(Variables!$C$12,"sec","day")),POS_Time,"&lt;="&amp;($D104-CONVERT(Variables!$C$12+1,"sec","day")),POS_Q,"&lt;="&amp;Variables!$C$11))</f>
        <v/>
      </c>
      <c r="O104" s="31" t="str">
        <f>IF($B104="","",AVERAGEIFS(sdu,POS_Time,"&gt;="&amp;($C104+CONVERT(Variables!$C$12,"sec","day")),POS_Time,"&lt;="&amp;($D104-CONVERT(Variables!$C$12+1,"sec","day")),POS_Q,"&lt;="&amp;Variables!$C$11))</f>
        <v/>
      </c>
      <c r="P104" s="32" t="str">
        <f t="array" ref="P104">IF($B104="","",STDEV(IF(POS_Time&gt;=($C104+CONVERT(Variables!$C$12,"sec","day")),IF(POS_Time&lt;=($D104-CONVERT(Variables!$C$12+1,"sec","day")),IF(POS_Q&lt;=Variables!$C$11,POS_Lat)))))</f>
        <v/>
      </c>
      <c r="Q104" s="32" t="str">
        <f t="array" ref="Q104">IF($B104="","",STDEV(IF(POS_Time&gt;=($C104+CONVERT(Variables!$C$12,"sec","day")),IF(POS_Time&lt;=($D104-CONVERT(Variables!$C$12+1,"sec","day")),IF(POS_Q&lt;=Variables!$C$11,POS_Long)))))</f>
        <v/>
      </c>
      <c r="R104" s="32" t="str">
        <f t="array" ref="R104">IF($B104="","",STDEV(IF(POS_Time&gt;=($C104+CONVERT(Variables!$C$12,"sec","day")),IF(POS_Time&lt;=($D104-CONVERT(Variables!$C$12+1,"sec","day")),IF(POS_Q&lt;=Variables!$C$11,POS_elev)))))</f>
        <v/>
      </c>
      <c r="S104" s="30" t="str">
        <f>IF($B104="","",'Rover CSV Data'!K104)</f>
        <v/>
      </c>
      <c r="T104" s="26" t="str">
        <f>IF($B104="","",COUNTIFS(POS_Time,"&gt;="&amp;($C104+CONVERT(Variables!$C$12,"sec","day")),POS_Time,"&lt;="&amp;($D104-CONVERT(Variables!$C$12+1,"sec","day")),POS_Q,"&lt;="&amp;Variables!$C$11))</f>
        <v/>
      </c>
      <c r="U104" s="26" t="str">
        <f>IF($B104="","",IF(1&gt;Variables!$C$11,0,COUNTIFS(POS_Time,"&gt;="&amp;($C104+CONVERT(Variables!$C$12,"sec","day")),POS_Time,"&lt;="&amp;($D104-CONVERT(Variables!$C$12+1,"sec","day")),POS_Q,"=1")))</f>
        <v/>
      </c>
      <c r="V104" s="26" t="str">
        <f>IF($B104="","",IF(2&gt;Variables!$C$11,0,COUNTIFS(POS_Time,"&gt;="&amp;($C104+CONVERT(Variables!$C$12,"sec","day")),POS_Time,"&lt;="&amp;($D104-CONVERT(Variables!$C$12+1,"sec","day")),POS_Q,"=2")))</f>
        <v/>
      </c>
      <c r="W104" s="26" t="str">
        <f>IF($B104="","",IF(3&gt;Variables!$C$11,0,COUNTIFS(POS_Time,"&gt;="&amp;($C104+CONVERT(Variables!$C$12,"sec","day")),POS_Time,"&lt;="&amp;($D104-CONVERT(Variables!$C$12+1,"sec","day")),POS_Q,"=3")))</f>
        <v/>
      </c>
      <c r="X104" s="26" t="str">
        <f>IF($B104="","",IF(4&gt;Variables!$C$11,0,COUNTIFS(POS_Time,"&gt;="&amp;($C104+CONVERT(Variables!$C$12,"sec","day")),POS_Time,"&lt;="&amp;($D104-CONVERT(Variables!$C$12+1,"sec","day")),POS_Q,"=4")))</f>
        <v/>
      </c>
      <c r="Y104" s="26" t="str">
        <f>IF($B104="","",IF(5&gt;Variables!$C$11,0,COUNTIFS(POS_Time,"&gt;="&amp;($C104+CONVERT(Variables!$C$12,"sec","day")),POS_Time,"&lt;="&amp;($D104-CONVERT(Variables!$C$12+1,"sec","day")),POS_Q,"=5")))</f>
        <v/>
      </c>
      <c r="Z104" s="26" t="str">
        <f>IF($B104="","",IF(6&gt;Variables!$C$11,0,COUNTIFS(POS_Time,"&gt;="&amp;($C104+CONVERT(Variables!$C$12,"sec","day")),POS_Time,"&lt;="&amp;($D104-CONVERT(Variables!$C$12+1,"sec","day")),POS_Q,"=6")))</f>
        <v/>
      </c>
    </row>
    <row r="105" spans="1:26" x14ac:dyDescent="0.25">
      <c r="A105" s="2">
        <v>104</v>
      </c>
      <c r="B105" s="27" t="str">
        <f>IF((ROW()-1)&lt;=RoverStations,'Rover CSV Data'!B105,"")</f>
        <v/>
      </c>
      <c r="C105" s="28" t="str">
        <f>IF($B105="","",DATEVALUE(LEFT('Rover CSV Data'!F105,FIND(" ",'Rover CSV Data'!F105)-1))+TIMEVALUE(MID('Rover CSV Data'!F105,LEN('Rover CSV Data'!F105)-FIND(" ",'Rover CSV Data'!F105),(FIND(" UTC",'Rover CSV Data'!F105))-(LEN('Rover CSV Data'!F105)-FIND(" ",'Rover CSV Data'!F105)))))</f>
        <v/>
      </c>
      <c r="D105" s="28" t="str">
        <f>IF($B105="","",DATEVALUE(LEFT('Rover CSV Data'!G105,FIND(" ",'Rover CSV Data'!G105)-1))+TIMEVALUE(MID('Rover CSV Data'!G105,LEN('Rover CSV Data'!G105)-FIND(" ",'Rover CSV Data'!G105),(FIND(" UTC",'Rover CSV Data'!G105))-(LEN('Rover CSV Data'!G105)-FIND(" ",'Rover CSV Data'!G105)))))</f>
        <v/>
      </c>
      <c r="E105" s="29" t="str">
        <f t="shared" si="2"/>
        <v/>
      </c>
      <c r="F105" s="26" t="str">
        <f>IF($B105="","",'Rover CSV Data'!J105)</f>
        <v/>
      </c>
      <c r="G105" s="26" t="str">
        <f>IF($B105="","",AVERAGEIFS(POS_Lat,POS_Time,"&gt;="&amp;($C105+CONVERT(Variables!$C$12,"sec","day")),POS_Time,"&lt;="&amp;($D105-CONVERT(Variables!$C$12+1,"sec","day")),POS_Q,"&lt;="&amp;Variables!$C$11))</f>
        <v/>
      </c>
      <c r="H105" s="26" t="str">
        <f>IF($B105="","",AVERAGEIFS(POS_Long,POS_Time,"&gt;="&amp;($C105+CONVERT(Variables!$C$12,"sec","day")),POS_Time,"&lt;="&amp;($D105-CONVERT(Variables!$C$12+1,"sec","day")),POS_Q,"&lt;="&amp;Variables!$C$11))</f>
        <v/>
      </c>
      <c r="I105" s="30" t="str">
        <f>IF($B105="","",AVERAGEIFS(POS_elev,POS_Time,"&gt;="&amp;($C105+CONVERT(Variables!$C$12,"sec","day")),POS_Time,"&lt;="&amp;($D105-CONVERT(Variables!$C$12+1,"sec","day")),POS_Q,"&lt;="&amp;Variables!$C$11)-S105)</f>
        <v/>
      </c>
      <c r="J105" s="26" t="str">
        <f>IF($B105="","",'Rover CSV Data'!D105)</f>
        <v/>
      </c>
      <c r="K105" s="26" t="str">
        <f>IF($B105="","",'Rover CSV Data'!C105)</f>
        <v/>
      </c>
      <c r="L105" s="26" t="str">
        <f>IF($B105="","",'Rover CSV Data'!E105)</f>
        <v/>
      </c>
      <c r="M105" s="30" t="str">
        <f>IF($B105="","",AVERAGEIFS(sdn,POS_Time,"&gt;="&amp;($C105+CONVERT(Variables!$C$12,"sec","day")),POS_Time,"&lt;="&amp;($D105-CONVERT(Variables!$C$12+1,"sec","day")),POS_Q,"&lt;="&amp;Variables!$C$11))</f>
        <v/>
      </c>
      <c r="N105" s="31" t="str">
        <f>IF($B105="","",AVERAGEIFS(sde,POS_Time,"&gt;="&amp;($C105+CONVERT(Variables!$C$12,"sec","day")),POS_Time,"&lt;="&amp;($D105-CONVERT(Variables!$C$12+1,"sec","day")),POS_Q,"&lt;="&amp;Variables!$C$11))</f>
        <v/>
      </c>
      <c r="O105" s="31" t="str">
        <f>IF($B105="","",AVERAGEIFS(sdu,POS_Time,"&gt;="&amp;($C105+CONVERT(Variables!$C$12,"sec","day")),POS_Time,"&lt;="&amp;($D105-CONVERT(Variables!$C$12+1,"sec","day")),POS_Q,"&lt;="&amp;Variables!$C$11))</f>
        <v/>
      </c>
      <c r="P105" s="32" t="str">
        <f t="array" ref="P105">IF($B105="","",STDEV(IF(POS_Time&gt;=($C105+CONVERT(Variables!$C$12,"sec","day")),IF(POS_Time&lt;=($D105-CONVERT(Variables!$C$12+1,"sec","day")),IF(POS_Q&lt;=Variables!$C$11,POS_Lat)))))</f>
        <v/>
      </c>
      <c r="Q105" s="32" t="str">
        <f t="array" ref="Q105">IF($B105="","",STDEV(IF(POS_Time&gt;=($C105+CONVERT(Variables!$C$12,"sec","day")),IF(POS_Time&lt;=($D105-CONVERT(Variables!$C$12+1,"sec","day")),IF(POS_Q&lt;=Variables!$C$11,POS_Long)))))</f>
        <v/>
      </c>
      <c r="R105" s="32" t="str">
        <f t="array" ref="R105">IF($B105="","",STDEV(IF(POS_Time&gt;=($C105+CONVERT(Variables!$C$12,"sec","day")),IF(POS_Time&lt;=($D105-CONVERT(Variables!$C$12+1,"sec","day")),IF(POS_Q&lt;=Variables!$C$11,POS_elev)))))</f>
        <v/>
      </c>
      <c r="S105" s="30" t="str">
        <f>IF($B105="","",'Rover CSV Data'!K105)</f>
        <v/>
      </c>
      <c r="T105" s="26" t="str">
        <f>IF($B105="","",COUNTIFS(POS_Time,"&gt;="&amp;($C105+CONVERT(Variables!$C$12,"sec","day")),POS_Time,"&lt;="&amp;($D105-CONVERT(Variables!$C$12+1,"sec","day")),POS_Q,"&lt;="&amp;Variables!$C$11))</f>
        <v/>
      </c>
      <c r="U105" s="26" t="str">
        <f>IF($B105="","",IF(1&gt;Variables!$C$11,0,COUNTIFS(POS_Time,"&gt;="&amp;($C105+CONVERT(Variables!$C$12,"sec","day")),POS_Time,"&lt;="&amp;($D105-CONVERT(Variables!$C$12+1,"sec","day")),POS_Q,"=1")))</f>
        <v/>
      </c>
      <c r="V105" s="26" t="str">
        <f>IF($B105="","",IF(2&gt;Variables!$C$11,0,COUNTIFS(POS_Time,"&gt;="&amp;($C105+CONVERT(Variables!$C$12,"sec","day")),POS_Time,"&lt;="&amp;($D105-CONVERT(Variables!$C$12+1,"sec","day")),POS_Q,"=2")))</f>
        <v/>
      </c>
      <c r="W105" s="26" t="str">
        <f>IF($B105="","",IF(3&gt;Variables!$C$11,0,COUNTIFS(POS_Time,"&gt;="&amp;($C105+CONVERT(Variables!$C$12,"sec","day")),POS_Time,"&lt;="&amp;($D105-CONVERT(Variables!$C$12+1,"sec","day")),POS_Q,"=3")))</f>
        <v/>
      </c>
      <c r="X105" s="26" t="str">
        <f>IF($B105="","",IF(4&gt;Variables!$C$11,0,COUNTIFS(POS_Time,"&gt;="&amp;($C105+CONVERT(Variables!$C$12,"sec","day")),POS_Time,"&lt;="&amp;($D105-CONVERT(Variables!$C$12+1,"sec","day")),POS_Q,"=4")))</f>
        <v/>
      </c>
      <c r="Y105" s="26" t="str">
        <f>IF($B105="","",IF(5&gt;Variables!$C$11,0,COUNTIFS(POS_Time,"&gt;="&amp;($C105+CONVERT(Variables!$C$12,"sec","day")),POS_Time,"&lt;="&amp;($D105-CONVERT(Variables!$C$12+1,"sec","day")),POS_Q,"=5")))</f>
        <v/>
      </c>
      <c r="Z105" s="26" t="str">
        <f>IF($B105="","",IF(6&gt;Variables!$C$11,0,COUNTIFS(POS_Time,"&gt;="&amp;($C105+CONVERT(Variables!$C$12,"sec","day")),POS_Time,"&lt;="&amp;($D105-CONVERT(Variables!$C$12+1,"sec","day")),POS_Q,"=6")))</f>
        <v/>
      </c>
    </row>
    <row r="106" spans="1:26" x14ac:dyDescent="0.25">
      <c r="A106" s="2">
        <v>105</v>
      </c>
      <c r="B106" s="27" t="str">
        <f>IF((ROW()-1)&lt;=RoverStations,'Rover CSV Data'!B106,"")</f>
        <v/>
      </c>
      <c r="C106" s="28" t="str">
        <f>IF($B106="","",DATEVALUE(LEFT('Rover CSV Data'!F106,FIND(" ",'Rover CSV Data'!F106)-1))+TIMEVALUE(MID('Rover CSV Data'!F106,LEN('Rover CSV Data'!F106)-FIND(" ",'Rover CSV Data'!F106),(FIND(" UTC",'Rover CSV Data'!F106))-(LEN('Rover CSV Data'!F106)-FIND(" ",'Rover CSV Data'!F106)))))</f>
        <v/>
      </c>
      <c r="D106" s="28" t="str">
        <f>IF($B106="","",DATEVALUE(LEFT('Rover CSV Data'!G106,FIND(" ",'Rover CSV Data'!G106)-1))+TIMEVALUE(MID('Rover CSV Data'!G106,LEN('Rover CSV Data'!G106)-FIND(" ",'Rover CSV Data'!G106),(FIND(" UTC",'Rover CSV Data'!G106))-(LEN('Rover CSV Data'!G106)-FIND(" ",'Rover CSV Data'!G106)))))</f>
        <v/>
      </c>
      <c r="E106" s="29" t="str">
        <f t="shared" si="2"/>
        <v/>
      </c>
      <c r="F106" s="26" t="str">
        <f>IF($B106="","",'Rover CSV Data'!J106)</f>
        <v/>
      </c>
      <c r="G106" s="26" t="str">
        <f>IF($B106="","",AVERAGEIFS(POS_Lat,POS_Time,"&gt;="&amp;($C106+CONVERT(Variables!$C$12,"sec","day")),POS_Time,"&lt;="&amp;($D106-CONVERT(Variables!$C$12+1,"sec","day")),POS_Q,"&lt;="&amp;Variables!$C$11))</f>
        <v/>
      </c>
      <c r="H106" s="26" t="str">
        <f>IF($B106="","",AVERAGEIFS(POS_Long,POS_Time,"&gt;="&amp;($C106+CONVERT(Variables!$C$12,"sec","day")),POS_Time,"&lt;="&amp;($D106-CONVERT(Variables!$C$12+1,"sec","day")),POS_Q,"&lt;="&amp;Variables!$C$11))</f>
        <v/>
      </c>
      <c r="I106" s="30" t="str">
        <f>IF($B106="","",AVERAGEIFS(POS_elev,POS_Time,"&gt;="&amp;($C106+CONVERT(Variables!$C$12,"sec","day")),POS_Time,"&lt;="&amp;($D106-CONVERT(Variables!$C$12+1,"sec","day")),POS_Q,"&lt;="&amp;Variables!$C$11)-S106)</f>
        <v/>
      </c>
      <c r="J106" s="26" t="str">
        <f>IF($B106="","",'Rover CSV Data'!D106)</f>
        <v/>
      </c>
      <c r="K106" s="26" t="str">
        <f>IF($B106="","",'Rover CSV Data'!C106)</f>
        <v/>
      </c>
      <c r="L106" s="26" t="str">
        <f>IF($B106="","",'Rover CSV Data'!E106)</f>
        <v/>
      </c>
      <c r="M106" s="30" t="str">
        <f>IF($B106="","",AVERAGEIFS(sdn,POS_Time,"&gt;="&amp;($C106+CONVERT(Variables!$C$12,"sec","day")),POS_Time,"&lt;="&amp;($D106-CONVERT(Variables!$C$12+1,"sec","day")),POS_Q,"&lt;="&amp;Variables!$C$11))</f>
        <v/>
      </c>
      <c r="N106" s="31" t="str">
        <f>IF($B106="","",AVERAGEIFS(sde,POS_Time,"&gt;="&amp;($C106+CONVERT(Variables!$C$12,"sec","day")),POS_Time,"&lt;="&amp;($D106-CONVERT(Variables!$C$12+1,"sec","day")),POS_Q,"&lt;="&amp;Variables!$C$11))</f>
        <v/>
      </c>
      <c r="O106" s="31" t="str">
        <f>IF($B106="","",AVERAGEIFS(sdu,POS_Time,"&gt;="&amp;($C106+CONVERT(Variables!$C$12,"sec","day")),POS_Time,"&lt;="&amp;($D106-CONVERT(Variables!$C$12+1,"sec","day")),POS_Q,"&lt;="&amp;Variables!$C$11))</f>
        <v/>
      </c>
      <c r="P106" s="32" t="str">
        <f t="array" ref="P106">IF($B106="","",STDEV(IF(POS_Time&gt;=($C106+CONVERT(Variables!$C$12,"sec","day")),IF(POS_Time&lt;=($D106-CONVERT(Variables!$C$12+1,"sec","day")),IF(POS_Q&lt;=Variables!$C$11,POS_Lat)))))</f>
        <v/>
      </c>
      <c r="Q106" s="32" t="str">
        <f t="array" ref="Q106">IF($B106="","",STDEV(IF(POS_Time&gt;=($C106+CONVERT(Variables!$C$12,"sec","day")),IF(POS_Time&lt;=($D106-CONVERT(Variables!$C$12+1,"sec","day")),IF(POS_Q&lt;=Variables!$C$11,POS_Long)))))</f>
        <v/>
      </c>
      <c r="R106" s="32" t="str">
        <f t="array" ref="R106">IF($B106="","",STDEV(IF(POS_Time&gt;=($C106+CONVERT(Variables!$C$12,"sec","day")),IF(POS_Time&lt;=($D106-CONVERT(Variables!$C$12+1,"sec","day")),IF(POS_Q&lt;=Variables!$C$11,POS_elev)))))</f>
        <v/>
      </c>
      <c r="S106" s="30" t="str">
        <f>IF($B106="","",'Rover CSV Data'!K106)</f>
        <v/>
      </c>
      <c r="T106" s="26" t="str">
        <f>IF($B106="","",COUNTIFS(POS_Time,"&gt;="&amp;($C106+CONVERT(Variables!$C$12,"sec","day")),POS_Time,"&lt;="&amp;($D106-CONVERT(Variables!$C$12+1,"sec","day")),POS_Q,"&lt;="&amp;Variables!$C$11))</f>
        <v/>
      </c>
      <c r="U106" s="26" t="str">
        <f>IF($B106="","",IF(1&gt;Variables!$C$11,0,COUNTIFS(POS_Time,"&gt;="&amp;($C106+CONVERT(Variables!$C$12,"sec","day")),POS_Time,"&lt;="&amp;($D106-CONVERT(Variables!$C$12+1,"sec","day")),POS_Q,"=1")))</f>
        <v/>
      </c>
      <c r="V106" s="26" t="str">
        <f>IF($B106="","",IF(2&gt;Variables!$C$11,0,COUNTIFS(POS_Time,"&gt;="&amp;($C106+CONVERT(Variables!$C$12,"sec","day")),POS_Time,"&lt;="&amp;($D106-CONVERT(Variables!$C$12+1,"sec","day")),POS_Q,"=2")))</f>
        <v/>
      </c>
      <c r="W106" s="26" t="str">
        <f>IF($B106="","",IF(3&gt;Variables!$C$11,0,COUNTIFS(POS_Time,"&gt;="&amp;($C106+CONVERT(Variables!$C$12,"sec","day")),POS_Time,"&lt;="&amp;($D106-CONVERT(Variables!$C$12+1,"sec","day")),POS_Q,"=3")))</f>
        <v/>
      </c>
      <c r="X106" s="26" t="str">
        <f>IF($B106="","",IF(4&gt;Variables!$C$11,0,COUNTIFS(POS_Time,"&gt;="&amp;($C106+CONVERT(Variables!$C$12,"sec","day")),POS_Time,"&lt;="&amp;($D106-CONVERT(Variables!$C$12+1,"sec","day")),POS_Q,"=4")))</f>
        <v/>
      </c>
      <c r="Y106" s="26" t="str">
        <f>IF($B106="","",IF(5&gt;Variables!$C$11,0,COUNTIFS(POS_Time,"&gt;="&amp;($C106+CONVERT(Variables!$C$12,"sec","day")),POS_Time,"&lt;="&amp;($D106-CONVERT(Variables!$C$12+1,"sec","day")),POS_Q,"=5")))</f>
        <v/>
      </c>
      <c r="Z106" s="26" t="str">
        <f>IF($B106="","",IF(6&gt;Variables!$C$11,0,COUNTIFS(POS_Time,"&gt;="&amp;($C106+CONVERT(Variables!$C$12,"sec","day")),POS_Time,"&lt;="&amp;($D106-CONVERT(Variables!$C$12+1,"sec","day")),POS_Q,"=6")))</f>
        <v/>
      </c>
    </row>
    <row r="107" spans="1:26" x14ac:dyDescent="0.25">
      <c r="A107" s="2">
        <v>106</v>
      </c>
      <c r="B107" s="27" t="str">
        <f>IF((ROW()-1)&lt;=RoverStations,'Rover CSV Data'!B107,"")</f>
        <v/>
      </c>
      <c r="C107" s="28" t="str">
        <f>IF($B107="","",DATEVALUE(LEFT('Rover CSV Data'!F107,FIND(" ",'Rover CSV Data'!F107)-1))+TIMEVALUE(MID('Rover CSV Data'!F107,LEN('Rover CSV Data'!F107)-FIND(" ",'Rover CSV Data'!F107),(FIND(" UTC",'Rover CSV Data'!F107))-(LEN('Rover CSV Data'!F107)-FIND(" ",'Rover CSV Data'!F107)))))</f>
        <v/>
      </c>
      <c r="D107" s="28" t="str">
        <f>IF($B107="","",DATEVALUE(LEFT('Rover CSV Data'!G107,FIND(" ",'Rover CSV Data'!G107)-1))+TIMEVALUE(MID('Rover CSV Data'!G107,LEN('Rover CSV Data'!G107)-FIND(" ",'Rover CSV Data'!G107),(FIND(" UTC",'Rover CSV Data'!G107))-(LEN('Rover CSV Data'!G107)-FIND(" ",'Rover CSV Data'!G107)))))</f>
        <v/>
      </c>
      <c r="E107" s="29" t="str">
        <f t="shared" si="2"/>
        <v/>
      </c>
      <c r="F107" s="26" t="str">
        <f>IF($B107="","",'Rover CSV Data'!J107)</f>
        <v/>
      </c>
      <c r="G107" s="26" t="str">
        <f>IF($B107="","",AVERAGEIFS(POS_Lat,POS_Time,"&gt;="&amp;($C107+CONVERT(Variables!$C$12,"sec","day")),POS_Time,"&lt;="&amp;($D107-CONVERT(Variables!$C$12+1,"sec","day")),POS_Q,"&lt;="&amp;Variables!$C$11))</f>
        <v/>
      </c>
      <c r="H107" s="26" t="str">
        <f>IF($B107="","",AVERAGEIFS(POS_Long,POS_Time,"&gt;="&amp;($C107+CONVERT(Variables!$C$12,"sec","day")),POS_Time,"&lt;="&amp;($D107-CONVERT(Variables!$C$12+1,"sec","day")),POS_Q,"&lt;="&amp;Variables!$C$11))</f>
        <v/>
      </c>
      <c r="I107" s="30" t="str">
        <f>IF($B107="","",AVERAGEIFS(POS_elev,POS_Time,"&gt;="&amp;($C107+CONVERT(Variables!$C$12,"sec","day")),POS_Time,"&lt;="&amp;($D107-CONVERT(Variables!$C$12+1,"sec","day")),POS_Q,"&lt;="&amp;Variables!$C$11)-S107)</f>
        <v/>
      </c>
      <c r="J107" s="26" t="str">
        <f>IF($B107="","",'Rover CSV Data'!D107)</f>
        <v/>
      </c>
      <c r="K107" s="26" t="str">
        <f>IF($B107="","",'Rover CSV Data'!C107)</f>
        <v/>
      </c>
      <c r="L107" s="26" t="str">
        <f>IF($B107="","",'Rover CSV Data'!E107)</f>
        <v/>
      </c>
      <c r="M107" s="30" t="str">
        <f>IF($B107="","",AVERAGEIFS(sdn,POS_Time,"&gt;="&amp;($C107+CONVERT(Variables!$C$12,"sec","day")),POS_Time,"&lt;="&amp;($D107-CONVERT(Variables!$C$12+1,"sec","day")),POS_Q,"&lt;="&amp;Variables!$C$11))</f>
        <v/>
      </c>
      <c r="N107" s="31" t="str">
        <f>IF($B107="","",AVERAGEIFS(sde,POS_Time,"&gt;="&amp;($C107+CONVERT(Variables!$C$12,"sec","day")),POS_Time,"&lt;="&amp;($D107-CONVERT(Variables!$C$12+1,"sec","day")),POS_Q,"&lt;="&amp;Variables!$C$11))</f>
        <v/>
      </c>
      <c r="O107" s="31" t="str">
        <f>IF($B107="","",AVERAGEIFS(sdu,POS_Time,"&gt;="&amp;($C107+CONVERT(Variables!$C$12,"sec","day")),POS_Time,"&lt;="&amp;($D107-CONVERT(Variables!$C$12+1,"sec","day")),POS_Q,"&lt;="&amp;Variables!$C$11))</f>
        <v/>
      </c>
      <c r="P107" s="32" t="str">
        <f t="array" ref="P107">IF($B107="","",STDEV(IF(POS_Time&gt;=($C107+CONVERT(Variables!$C$12,"sec","day")),IF(POS_Time&lt;=($D107-CONVERT(Variables!$C$12+1,"sec","day")),IF(POS_Q&lt;=Variables!$C$11,POS_Lat)))))</f>
        <v/>
      </c>
      <c r="Q107" s="32" t="str">
        <f t="array" ref="Q107">IF($B107="","",STDEV(IF(POS_Time&gt;=($C107+CONVERT(Variables!$C$12,"sec","day")),IF(POS_Time&lt;=($D107-CONVERT(Variables!$C$12+1,"sec","day")),IF(POS_Q&lt;=Variables!$C$11,POS_Long)))))</f>
        <v/>
      </c>
      <c r="R107" s="32" t="str">
        <f t="array" ref="R107">IF($B107="","",STDEV(IF(POS_Time&gt;=($C107+CONVERT(Variables!$C$12,"sec","day")),IF(POS_Time&lt;=($D107-CONVERT(Variables!$C$12+1,"sec","day")),IF(POS_Q&lt;=Variables!$C$11,POS_elev)))))</f>
        <v/>
      </c>
      <c r="S107" s="30" t="str">
        <f>IF($B107="","",'Rover CSV Data'!K107)</f>
        <v/>
      </c>
      <c r="T107" s="26" t="str">
        <f>IF($B107="","",COUNTIFS(POS_Time,"&gt;="&amp;($C107+CONVERT(Variables!$C$12,"sec","day")),POS_Time,"&lt;="&amp;($D107-CONVERT(Variables!$C$12+1,"sec","day")),POS_Q,"&lt;="&amp;Variables!$C$11))</f>
        <v/>
      </c>
      <c r="U107" s="26" t="str">
        <f>IF($B107="","",IF(1&gt;Variables!$C$11,0,COUNTIFS(POS_Time,"&gt;="&amp;($C107+CONVERT(Variables!$C$12,"sec","day")),POS_Time,"&lt;="&amp;($D107-CONVERT(Variables!$C$12+1,"sec","day")),POS_Q,"=1")))</f>
        <v/>
      </c>
      <c r="V107" s="26" t="str">
        <f>IF($B107="","",IF(2&gt;Variables!$C$11,0,COUNTIFS(POS_Time,"&gt;="&amp;($C107+CONVERT(Variables!$C$12,"sec","day")),POS_Time,"&lt;="&amp;($D107-CONVERT(Variables!$C$12+1,"sec","day")),POS_Q,"=2")))</f>
        <v/>
      </c>
      <c r="W107" s="26" t="str">
        <f>IF($B107="","",IF(3&gt;Variables!$C$11,0,COUNTIFS(POS_Time,"&gt;="&amp;($C107+CONVERT(Variables!$C$12,"sec","day")),POS_Time,"&lt;="&amp;($D107-CONVERT(Variables!$C$12+1,"sec","day")),POS_Q,"=3")))</f>
        <v/>
      </c>
      <c r="X107" s="26" t="str">
        <f>IF($B107="","",IF(4&gt;Variables!$C$11,0,COUNTIFS(POS_Time,"&gt;="&amp;($C107+CONVERT(Variables!$C$12,"sec","day")),POS_Time,"&lt;="&amp;($D107-CONVERT(Variables!$C$12+1,"sec","day")),POS_Q,"=4")))</f>
        <v/>
      </c>
      <c r="Y107" s="26" t="str">
        <f>IF($B107="","",IF(5&gt;Variables!$C$11,0,COUNTIFS(POS_Time,"&gt;="&amp;($C107+CONVERT(Variables!$C$12,"sec","day")),POS_Time,"&lt;="&amp;($D107-CONVERT(Variables!$C$12+1,"sec","day")),POS_Q,"=5")))</f>
        <v/>
      </c>
      <c r="Z107" s="26" t="str">
        <f>IF($B107="","",IF(6&gt;Variables!$C$11,0,COUNTIFS(POS_Time,"&gt;="&amp;($C107+CONVERT(Variables!$C$12,"sec","day")),POS_Time,"&lt;="&amp;($D107-CONVERT(Variables!$C$12+1,"sec","day")),POS_Q,"=6")))</f>
        <v/>
      </c>
    </row>
    <row r="108" spans="1:26" x14ac:dyDescent="0.25">
      <c r="A108" s="2">
        <v>107</v>
      </c>
      <c r="B108" s="27" t="str">
        <f>IF((ROW()-1)&lt;=RoverStations,'Rover CSV Data'!B108,"")</f>
        <v/>
      </c>
      <c r="C108" s="28" t="str">
        <f>IF($B108="","",DATEVALUE(LEFT('Rover CSV Data'!F108,FIND(" ",'Rover CSV Data'!F108)-1))+TIMEVALUE(MID('Rover CSV Data'!F108,LEN('Rover CSV Data'!F108)-FIND(" ",'Rover CSV Data'!F108),(FIND(" UTC",'Rover CSV Data'!F108))-(LEN('Rover CSV Data'!F108)-FIND(" ",'Rover CSV Data'!F108)))))</f>
        <v/>
      </c>
      <c r="D108" s="28" t="str">
        <f>IF($B108="","",DATEVALUE(LEFT('Rover CSV Data'!G108,FIND(" ",'Rover CSV Data'!G108)-1))+TIMEVALUE(MID('Rover CSV Data'!G108,LEN('Rover CSV Data'!G108)-FIND(" ",'Rover CSV Data'!G108),(FIND(" UTC",'Rover CSV Data'!G108))-(LEN('Rover CSV Data'!G108)-FIND(" ",'Rover CSV Data'!G108)))))</f>
        <v/>
      </c>
      <c r="E108" s="29" t="str">
        <f t="shared" si="2"/>
        <v/>
      </c>
      <c r="F108" s="26" t="str">
        <f>IF($B108="","",'Rover CSV Data'!J108)</f>
        <v/>
      </c>
      <c r="G108" s="26" t="str">
        <f>IF($B108="","",AVERAGEIFS(POS_Lat,POS_Time,"&gt;="&amp;($C108+CONVERT(Variables!$C$12,"sec","day")),POS_Time,"&lt;="&amp;($D108-CONVERT(Variables!$C$12+1,"sec","day")),POS_Q,"&lt;="&amp;Variables!$C$11))</f>
        <v/>
      </c>
      <c r="H108" s="26" t="str">
        <f>IF($B108="","",AVERAGEIFS(POS_Long,POS_Time,"&gt;="&amp;($C108+CONVERT(Variables!$C$12,"sec","day")),POS_Time,"&lt;="&amp;($D108-CONVERT(Variables!$C$12+1,"sec","day")),POS_Q,"&lt;="&amp;Variables!$C$11))</f>
        <v/>
      </c>
      <c r="I108" s="30" t="str">
        <f>IF($B108="","",AVERAGEIFS(POS_elev,POS_Time,"&gt;="&amp;($C108+CONVERT(Variables!$C$12,"sec","day")),POS_Time,"&lt;="&amp;($D108-CONVERT(Variables!$C$12+1,"sec","day")),POS_Q,"&lt;="&amp;Variables!$C$11)-S108)</f>
        <v/>
      </c>
      <c r="J108" s="26" t="str">
        <f>IF($B108="","",'Rover CSV Data'!D108)</f>
        <v/>
      </c>
      <c r="K108" s="26" t="str">
        <f>IF($B108="","",'Rover CSV Data'!C108)</f>
        <v/>
      </c>
      <c r="L108" s="26" t="str">
        <f>IF($B108="","",'Rover CSV Data'!E108)</f>
        <v/>
      </c>
      <c r="M108" s="30" t="str">
        <f>IF($B108="","",AVERAGEIFS(sdn,POS_Time,"&gt;="&amp;($C108+CONVERT(Variables!$C$12,"sec","day")),POS_Time,"&lt;="&amp;($D108-CONVERT(Variables!$C$12+1,"sec","day")),POS_Q,"&lt;="&amp;Variables!$C$11))</f>
        <v/>
      </c>
      <c r="N108" s="31" t="str">
        <f>IF($B108="","",AVERAGEIFS(sde,POS_Time,"&gt;="&amp;($C108+CONVERT(Variables!$C$12,"sec","day")),POS_Time,"&lt;="&amp;($D108-CONVERT(Variables!$C$12+1,"sec","day")),POS_Q,"&lt;="&amp;Variables!$C$11))</f>
        <v/>
      </c>
      <c r="O108" s="31" t="str">
        <f>IF($B108="","",AVERAGEIFS(sdu,POS_Time,"&gt;="&amp;($C108+CONVERT(Variables!$C$12,"sec","day")),POS_Time,"&lt;="&amp;($D108-CONVERT(Variables!$C$12+1,"sec","day")),POS_Q,"&lt;="&amp;Variables!$C$11))</f>
        <v/>
      </c>
      <c r="P108" s="32" t="str">
        <f t="array" ref="P108">IF($B108="","",STDEV(IF(POS_Time&gt;=($C108+CONVERT(Variables!$C$12,"sec","day")),IF(POS_Time&lt;=($D108-CONVERT(Variables!$C$12+1,"sec","day")),IF(POS_Q&lt;=Variables!$C$11,POS_Lat)))))</f>
        <v/>
      </c>
      <c r="Q108" s="32" t="str">
        <f t="array" ref="Q108">IF($B108="","",STDEV(IF(POS_Time&gt;=($C108+CONVERT(Variables!$C$12,"sec","day")),IF(POS_Time&lt;=($D108-CONVERT(Variables!$C$12+1,"sec","day")),IF(POS_Q&lt;=Variables!$C$11,POS_Long)))))</f>
        <v/>
      </c>
      <c r="R108" s="32" t="str">
        <f t="array" ref="R108">IF($B108="","",STDEV(IF(POS_Time&gt;=($C108+CONVERT(Variables!$C$12,"sec","day")),IF(POS_Time&lt;=($D108-CONVERT(Variables!$C$12+1,"sec","day")),IF(POS_Q&lt;=Variables!$C$11,POS_elev)))))</f>
        <v/>
      </c>
      <c r="S108" s="30" t="str">
        <f>IF($B108="","",'Rover CSV Data'!K108)</f>
        <v/>
      </c>
      <c r="T108" s="26" t="str">
        <f>IF($B108="","",COUNTIFS(POS_Time,"&gt;="&amp;($C108+CONVERT(Variables!$C$12,"sec","day")),POS_Time,"&lt;="&amp;($D108-CONVERT(Variables!$C$12+1,"sec","day")),POS_Q,"&lt;="&amp;Variables!$C$11))</f>
        <v/>
      </c>
      <c r="U108" s="26" t="str">
        <f>IF($B108="","",IF(1&gt;Variables!$C$11,0,COUNTIFS(POS_Time,"&gt;="&amp;($C108+CONVERT(Variables!$C$12,"sec","day")),POS_Time,"&lt;="&amp;($D108-CONVERT(Variables!$C$12+1,"sec","day")),POS_Q,"=1")))</f>
        <v/>
      </c>
      <c r="V108" s="26" t="str">
        <f>IF($B108="","",IF(2&gt;Variables!$C$11,0,COUNTIFS(POS_Time,"&gt;="&amp;($C108+CONVERT(Variables!$C$12,"sec","day")),POS_Time,"&lt;="&amp;($D108-CONVERT(Variables!$C$12+1,"sec","day")),POS_Q,"=2")))</f>
        <v/>
      </c>
      <c r="W108" s="26" t="str">
        <f>IF($B108="","",IF(3&gt;Variables!$C$11,0,COUNTIFS(POS_Time,"&gt;="&amp;($C108+CONVERT(Variables!$C$12,"sec","day")),POS_Time,"&lt;="&amp;($D108-CONVERT(Variables!$C$12+1,"sec","day")),POS_Q,"=3")))</f>
        <v/>
      </c>
      <c r="X108" s="26" t="str">
        <f>IF($B108="","",IF(4&gt;Variables!$C$11,0,COUNTIFS(POS_Time,"&gt;="&amp;($C108+CONVERT(Variables!$C$12,"sec","day")),POS_Time,"&lt;="&amp;($D108-CONVERT(Variables!$C$12+1,"sec","day")),POS_Q,"=4")))</f>
        <v/>
      </c>
      <c r="Y108" s="26" t="str">
        <f>IF($B108="","",IF(5&gt;Variables!$C$11,0,COUNTIFS(POS_Time,"&gt;="&amp;($C108+CONVERT(Variables!$C$12,"sec","day")),POS_Time,"&lt;="&amp;($D108-CONVERT(Variables!$C$12+1,"sec","day")),POS_Q,"=5")))</f>
        <v/>
      </c>
      <c r="Z108" s="26" t="str">
        <f>IF($B108="","",IF(6&gt;Variables!$C$11,0,COUNTIFS(POS_Time,"&gt;="&amp;($C108+CONVERT(Variables!$C$12,"sec","day")),POS_Time,"&lt;="&amp;($D108-CONVERT(Variables!$C$12+1,"sec","day")),POS_Q,"=6")))</f>
        <v/>
      </c>
    </row>
    <row r="109" spans="1:26" x14ac:dyDescent="0.25">
      <c r="A109" s="2">
        <v>108</v>
      </c>
      <c r="B109" s="27" t="str">
        <f>IF((ROW()-1)&lt;=RoverStations,'Rover CSV Data'!B109,"")</f>
        <v/>
      </c>
      <c r="C109" s="28" t="str">
        <f>IF($B109="","",DATEVALUE(LEFT('Rover CSV Data'!F109,FIND(" ",'Rover CSV Data'!F109)-1))+TIMEVALUE(MID('Rover CSV Data'!F109,LEN('Rover CSV Data'!F109)-FIND(" ",'Rover CSV Data'!F109),(FIND(" UTC",'Rover CSV Data'!F109))-(LEN('Rover CSV Data'!F109)-FIND(" ",'Rover CSV Data'!F109)))))</f>
        <v/>
      </c>
      <c r="D109" s="28" t="str">
        <f>IF($B109="","",DATEVALUE(LEFT('Rover CSV Data'!G109,FIND(" ",'Rover CSV Data'!G109)-1))+TIMEVALUE(MID('Rover CSV Data'!G109,LEN('Rover CSV Data'!G109)-FIND(" ",'Rover CSV Data'!G109),(FIND(" UTC",'Rover CSV Data'!G109))-(LEN('Rover CSV Data'!G109)-FIND(" ",'Rover CSV Data'!G109)))))</f>
        <v/>
      </c>
      <c r="E109" s="29" t="str">
        <f t="shared" si="2"/>
        <v/>
      </c>
      <c r="F109" s="26" t="str">
        <f>IF($B109="","",'Rover CSV Data'!J109)</f>
        <v/>
      </c>
      <c r="G109" s="26" t="str">
        <f>IF($B109="","",AVERAGEIFS(POS_Lat,POS_Time,"&gt;="&amp;($C109+CONVERT(Variables!$C$12,"sec","day")),POS_Time,"&lt;="&amp;($D109-CONVERT(Variables!$C$12+1,"sec","day")),POS_Q,"&lt;="&amp;Variables!$C$11))</f>
        <v/>
      </c>
      <c r="H109" s="26" t="str">
        <f>IF($B109="","",AVERAGEIFS(POS_Long,POS_Time,"&gt;="&amp;($C109+CONVERT(Variables!$C$12,"sec","day")),POS_Time,"&lt;="&amp;($D109-CONVERT(Variables!$C$12+1,"sec","day")),POS_Q,"&lt;="&amp;Variables!$C$11))</f>
        <v/>
      </c>
      <c r="I109" s="30" t="str">
        <f>IF($B109="","",AVERAGEIFS(POS_elev,POS_Time,"&gt;="&amp;($C109+CONVERT(Variables!$C$12,"sec","day")),POS_Time,"&lt;="&amp;($D109-CONVERT(Variables!$C$12+1,"sec","day")),POS_Q,"&lt;="&amp;Variables!$C$11)-S109)</f>
        <v/>
      </c>
      <c r="J109" s="26" t="str">
        <f>IF($B109="","",'Rover CSV Data'!D109)</f>
        <v/>
      </c>
      <c r="K109" s="26" t="str">
        <f>IF($B109="","",'Rover CSV Data'!C109)</f>
        <v/>
      </c>
      <c r="L109" s="26" t="str">
        <f>IF($B109="","",'Rover CSV Data'!E109)</f>
        <v/>
      </c>
      <c r="M109" s="30" t="str">
        <f>IF($B109="","",AVERAGEIFS(sdn,POS_Time,"&gt;="&amp;($C109+CONVERT(Variables!$C$12,"sec","day")),POS_Time,"&lt;="&amp;($D109-CONVERT(Variables!$C$12+1,"sec","day")),POS_Q,"&lt;="&amp;Variables!$C$11))</f>
        <v/>
      </c>
      <c r="N109" s="31" t="str">
        <f>IF($B109="","",AVERAGEIFS(sde,POS_Time,"&gt;="&amp;($C109+CONVERT(Variables!$C$12,"sec","day")),POS_Time,"&lt;="&amp;($D109-CONVERT(Variables!$C$12+1,"sec","day")),POS_Q,"&lt;="&amp;Variables!$C$11))</f>
        <v/>
      </c>
      <c r="O109" s="31" t="str">
        <f>IF($B109="","",AVERAGEIFS(sdu,POS_Time,"&gt;="&amp;($C109+CONVERT(Variables!$C$12,"sec","day")),POS_Time,"&lt;="&amp;($D109-CONVERT(Variables!$C$12+1,"sec","day")),POS_Q,"&lt;="&amp;Variables!$C$11))</f>
        <v/>
      </c>
      <c r="P109" s="32" t="str">
        <f t="array" ref="P109">IF($B109="","",STDEV(IF(POS_Time&gt;=($C109+CONVERT(Variables!$C$12,"sec","day")),IF(POS_Time&lt;=($D109-CONVERT(Variables!$C$12+1,"sec","day")),IF(POS_Q&lt;=Variables!$C$11,POS_Lat)))))</f>
        <v/>
      </c>
      <c r="Q109" s="32" t="str">
        <f t="array" ref="Q109">IF($B109="","",STDEV(IF(POS_Time&gt;=($C109+CONVERT(Variables!$C$12,"sec","day")),IF(POS_Time&lt;=($D109-CONVERT(Variables!$C$12+1,"sec","day")),IF(POS_Q&lt;=Variables!$C$11,POS_Long)))))</f>
        <v/>
      </c>
      <c r="R109" s="32" t="str">
        <f t="array" ref="R109">IF($B109="","",STDEV(IF(POS_Time&gt;=($C109+CONVERT(Variables!$C$12,"sec","day")),IF(POS_Time&lt;=($D109-CONVERT(Variables!$C$12+1,"sec","day")),IF(POS_Q&lt;=Variables!$C$11,POS_elev)))))</f>
        <v/>
      </c>
      <c r="S109" s="30" t="str">
        <f>IF($B109="","",'Rover CSV Data'!K109)</f>
        <v/>
      </c>
      <c r="T109" s="26" t="str">
        <f>IF($B109="","",COUNTIFS(POS_Time,"&gt;="&amp;($C109+CONVERT(Variables!$C$12,"sec","day")),POS_Time,"&lt;="&amp;($D109-CONVERT(Variables!$C$12+1,"sec","day")),POS_Q,"&lt;="&amp;Variables!$C$11))</f>
        <v/>
      </c>
      <c r="U109" s="26" t="str">
        <f>IF($B109="","",IF(1&gt;Variables!$C$11,0,COUNTIFS(POS_Time,"&gt;="&amp;($C109+CONVERT(Variables!$C$12,"sec","day")),POS_Time,"&lt;="&amp;($D109-CONVERT(Variables!$C$12+1,"sec","day")),POS_Q,"=1")))</f>
        <v/>
      </c>
      <c r="V109" s="26" t="str">
        <f>IF($B109="","",IF(2&gt;Variables!$C$11,0,COUNTIFS(POS_Time,"&gt;="&amp;($C109+CONVERT(Variables!$C$12,"sec","day")),POS_Time,"&lt;="&amp;($D109-CONVERT(Variables!$C$12+1,"sec","day")),POS_Q,"=2")))</f>
        <v/>
      </c>
      <c r="W109" s="26" t="str">
        <f>IF($B109="","",IF(3&gt;Variables!$C$11,0,COUNTIFS(POS_Time,"&gt;="&amp;($C109+CONVERT(Variables!$C$12,"sec","day")),POS_Time,"&lt;="&amp;($D109-CONVERT(Variables!$C$12+1,"sec","day")),POS_Q,"=3")))</f>
        <v/>
      </c>
      <c r="X109" s="26" t="str">
        <f>IF($B109="","",IF(4&gt;Variables!$C$11,0,COUNTIFS(POS_Time,"&gt;="&amp;($C109+CONVERT(Variables!$C$12,"sec","day")),POS_Time,"&lt;="&amp;($D109-CONVERT(Variables!$C$12+1,"sec","day")),POS_Q,"=4")))</f>
        <v/>
      </c>
      <c r="Y109" s="26" t="str">
        <f>IF($B109="","",IF(5&gt;Variables!$C$11,0,COUNTIFS(POS_Time,"&gt;="&amp;($C109+CONVERT(Variables!$C$12,"sec","day")),POS_Time,"&lt;="&amp;($D109-CONVERT(Variables!$C$12+1,"sec","day")),POS_Q,"=5")))</f>
        <v/>
      </c>
      <c r="Z109" s="26" t="str">
        <f>IF($B109="","",IF(6&gt;Variables!$C$11,0,COUNTIFS(POS_Time,"&gt;="&amp;($C109+CONVERT(Variables!$C$12,"sec","day")),POS_Time,"&lt;="&amp;($D109-CONVERT(Variables!$C$12+1,"sec","day")),POS_Q,"=6")))</f>
        <v/>
      </c>
    </row>
    <row r="110" spans="1:26" x14ac:dyDescent="0.25">
      <c r="A110" s="2">
        <v>109</v>
      </c>
      <c r="B110" s="27" t="str">
        <f>IF((ROW()-1)&lt;=RoverStations,'Rover CSV Data'!B110,"")</f>
        <v/>
      </c>
      <c r="C110" s="28" t="str">
        <f>IF($B110="","",DATEVALUE(LEFT('Rover CSV Data'!F110,FIND(" ",'Rover CSV Data'!F110)-1))+TIMEVALUE(MID('Rover CSV Data'!F110,LEN('Rover CSV Data'!F110)-FIND(" ",'Rover CSV Data'!F110),(FIND(" UTC",'Rover CSV Data'!F110))-(LEN('Rover CSV Data'!F110)-FIND(" ",'Rover CSV Data'!F110)))))</f>
        <v/>
      </c>
      <c r="D110" s="28" t="str">
        <f>IF($B110="","",DATEVALUE(LEFT('Rover CSV Data'!G110,FIND(" ",'Rover CSV Data'!G110)-1))+TIMEVALUE(MID('Rover CSV Data'!G110,LEN('Rover CSV Data'!G110)-FIND(" ",'Rover CSV Data'!G110),(FIND(" UTC",'Rover CSV Data'!G110))-(LEN('Rover CSV Data'!G110)-FIND(" ",'Rover CSV Data'!G110)))))</f>
        <v/>
      </c>
      <c r="E110" s="29" t="str">
        <f t="shared" si="2"/>
        <v/>
      </c>
      <c r="F110" s="26" t="str">
        <f>IF($B110="","",'Rover CSV Data'!J110)</f>
        <v/>
      </c>
      <c r="G110" s="26" t="str">
        <f>IF($B110="","",AVERAGEIFS(POS_Lat,POS_Time,"&gt;="&amp;($C110+CONVERT(Variables!$C$12,"sec","day")),POS_Time,"&lt;="&amp;($D110-CONVERT(Variables!$C$12+1,"sec","day")),POS_Q,"&lt;="&amp;Variables!$C$11))</f>
        <v/>
      </c>
      <c r="H110" s="26" t="str">
        <f>IF($B110="","",AVERAGEIFS(POS_Long,POS_Time,"&gt;="&amp;($C110+CONVERT(Variables!$C$12,"sec","day")),POS_Time,"&lt;="&amp;($D110-CONVERT(Variables!$C$12+1,"sec","day")),POS_Q,"&lt;="&amp;Variables!$C$11))</f>
        <v/>
      </c>
      <c r="I110" s="30" t="str">
        <f>IF($B110="","",AVERAGEIFS(POS_elev,POS_Time,"&gt;="&amp;($C110+CONVERT(Variables!$C$12,"sec","day")),POS_Time,"&lt;="&amp;($D110-CONVERT(Variables!$C$12+1,"sec","day")),POS_Q,"&lt;="&amp;Variables!$C$11)-S110)</f>
        <v/>
      </c>
      <c r="J110" s="26" t="str">
        <f>IF($B110="","",'Rover CSV Data'!D110)</f>
        <v/>
      </c>
      <c r="K110" s="26" t="str">
        <f>IF($B110="","",'Rover CSV Data'!C110)</f>
        <v/>
      </c>
      <c r="L110" s="26" t="str">
        <f>IF($B110="","",'Rover CSV Data'!E110)</f>
        <v/>
      </c>
      <c r="M110" s="30" t="str">
        <f>IF($B110="","",AVERAGEIFS(sdn,POS_Time,"&gt;="&amp;($C110+CONVERT(Variables!$C$12,"sec","day")),POS_Time,"&lt;="&amp;($D110-CONVERT(Variables!$C$12+1,"sec","day")),POS_Q,"&lt;="&amp;Variables!$C$11))</f>
        <v/>
      </c>
      <c r="N110" s="31" t="str">
        <f>IF($B110="","",AVERAGEIFS(sde,POS_Time,"&gt;="&amp;($C110+CONVERT(Variables!$C$12,"sec","day")),POS_Time,"&lt;="&amp;($D110-CONVERT(Variables!$C$12+1,"sec","day")),POS_Q,"&lt;="&amp;Variables!$C$11))</f>
        <v/>
      </c>
      <c r="O110" s="31" t="str">
        <f>IF($B110="","",AVERAGEIFS(sdu,POS_Time,"&gt;="&amp;($C110+CONVERT(Variables!$C$12,"sec","day")),POS_Time,"&lt;="&amp;($D110-CONVERT(Variables!$C$12+1,"sec","day")),POS_Q,"&lt;="&amp;Variables!$C$11))</f>
        <v/>
      </c>
      <c r="P110" s="32" t="str">
        <f t="array" ref="P110">IF($B110="","",STDEV(IF(POS_Time&gt;=($C110+CONVERT(Variables!$C$12,"sec","day")),IF(POS_Time&lt;=($D110-CONVERT(Variables!$C$12+1,"sec","day")),IF(POS_Q&lt;=Variables!$C$11,POS_Lat)))))</f>
        <v/>
      </c>
      <c r="Q110" s="32" t="str">
        <f t="array" ref="Q110">IF($B110="","",STDEV(IF(POS_Time&gt;=($C110+CONVERT(Variables!$C$12,"sec","day")),IF(POS_Time&lt;=($D110-CONVERT(Variables!$C$12+1,"sec","day")),IF(POS_Q&lt;=Variables!$C$11,POS_Long)))))</f>
        <v/>
      </c>
      <c r="R110" s="32" t="str">
        <f t="array" ref="R110">IF($B110="","",STDEV(IF(POS_Time&gt;=($C110+CONVERT(Variables!$C$12,"sec","day")),IF(POS_Time&lt;=($D110-CONVERT(Variables!$C$12+1,"sec","day")),IF(POS_Q&lt;=Variables!$C$11,POS_elev)))))</f>
        <v/>
      </c>
      <c r="S110" s="30" t="str">
        <f>IF($B110="","",'Rover CSV Data'!K110)</f>
        <v/>
      </c>
      <c r="T110" s="26" t="str">
        <f>IF($B110="","",COUNTIFS(POS_Time,"&gt;="&amp;($C110+CONVERT(Variables!$C$12,"sec","day")),POS_Time,"&lt;="&amp;($D110-CONVERT(Variables!$C$12+1,"sec","day")),POS_Q,"&lt;="&amp;Variables!$C$11))</f>
        <v/>
      </c>
      <c r="U110" s="26" t="str">
        <f>IF($B110="","",IF(1&gt;Variables!$C$11,0,COUNTIFS(POS_Time,"&gt;="&amp;($C110+CONVERT(Variables!$C$12,"sec","day")),POS_Time,"&lt;="&amp;($D110-CONVERT(Variables!$C$12+1,"sec","day")),POS_Q,"=1")))</f>
        <v/>
      </c>
      <c r="V110" s="26" t="str">
        <f>IF($B110="","",IF(2&gt;Variables!$C$11,0,COUNTIFS(POS_Time,"&gt;="&amp;($C110+CONVERT(Variables!$C$12,"sec","day")),POS_Time,"&lt;="&amp;($D110-CONVERT(Variables!$C$12+1,"sec","day")),POS_Q,"=2")))</f>
        <v/>
      </c>
      <c r="W110" s="26" t="str">
        <f>IF($B110="","",IF(3&gt;Variables!$C$11,0,COUNTIFS(POS_Time,"&gt;="&amp;($C110+CONVERT(Variables!$C$12,"sec","day")),POS_Time,"&lt;="&amp;($D110-CONVERT(Variables!$C$12+1,"sec","day")),POS_Q,"=3")))</f>
        <v/>
      </c>
      <c r="X110" s="26" t="str">
        <f>IF($B110="","",IF(4&gt;Variables!$C$11,0,COUNTIFS(POS_Time,"&gt;="&amp;($C110+CONVERT(Variables!$C$12,"sec","day")),POS_Time,"&lt;="&amp;($D110-CONVERT(Variables!$C$12+1,"sec","day")),POS_Q,"=4")))</f>
        <v/>
      </c>
      <c r="Y110" s="26" t="str">
        <f>IF($B110="","",IF(5&gt;Variables!$C$11,0,COUNTIFS(POS_Time,"&gt;="&amp;($C110+CONVERT(Variables!$C$12,"sec","day")),POS_Time,"&lt;="&amp;($D110-CONVERT(Variables!$C$12+1,"sec","day")),POS_Q,"=5")))</f>
        <v/>
      </c>
      <c r="Z110" s="26" t="str">
        <f>IF($B110="","",IF(6&gt;Variables!$C$11,0,COUNTIFS(POS_Time,"&gt;="&amp;($C110+CONVERT(Variables!$C$12,"sec","day")),POS_Time,"&lt;="&amp;($D110-CONVERT(Variables!$C$12+1,"sec","day")),POS_Q,"=6")))</f>
        <v/>
      </c>
    </row>
    <row r="111" spans="1:26" x14ac:dyDescent="0.25">
      <c r="A111" s="2">
        <v>110</v>
      </c>
      <c r="B111" s="27" t="str">
        <f>IF((ROW()-1)&lt;=RoverStations,'Rover CSV Data'!B111,"")</f>
        <v/>
      </c>
      <c r="C111" s="28" t="str">
        <f>IF($B111="","",DATEVALUE(LEFT('Rover CSV Data'!F111,FIND(" ",'Rover CSV Data'!F111)-1))+TIMEVALUE(MID('Rover CSV Data'!F111,LEN('Rover CSV Data'!F111)-FIND(" ",'Rover CSV Data'!F111),(FIND(" UTC",'Rover CSV Data'!F111))-(LEN('Rover CSV Data'!F111)-FIND(" ",'Rover CSV Data'!F111)))))</f>
        <v/>
      </c>
      <c r="D111" s="28" t="str">
        <f>IF($B111="","",DATEVALUE(LEFT('Rover CSV Data'!G111,FIND(" ",'Rover CSV Data'!G111)-1))+TIMEVALUE(MID('Rover CSV Data'!G111,LEN('Rover CSV Data'!G111)-FIND(" ",'Rover CSV Data'!G111),(FIND(" UTC",'Rover CSV Data'!G111))-(LEN('Rover CSV Data'!G111)-FIND(" ",'Rover CSV Data'!G111)))))</f>
        <v/>
      </c>
      <c r="E111" s="29" t="str">
        <f t="shared" si="2"/>
        <v/>
      </c>
      <c r="F111" s="26" t="str">
        <f>IF($B111="","",'Rover CSV Data'!J111)</f>
        <v/>
      </c>
      <c r="G111" s="26" t="str">
        <f>IF($B111="","",AVERAGEIFS(POS_Lat,POS_Time,"&gt;="&amp;($C111+CONVERT(Variables!$C$12,"sec","day")),POS_Time,"&lt;="&amp;($D111-CONVERT(Variables!$C$12+1,"sec","day")),POS_Q,"&lt;="&amp;Variables!$C$11))</f>
        <v/>
      </c>
      <c r="H111" s="26" t="str">
        <f>IF($B111="","",AVERAGEIFS(POS_Long,POS_Time,"&gt;="&amp;($C111+CONVERT(Variables!$C$12,"sec","day")),POS_Time,"&lt;="&amp;($D111-CONVERT(Variables!$C$12+1,"sec","day")),POS_Q,"&lt;="&amp;Variables!$C$11))</f>
        <v/>
      </c>
      <c r="I111" s="30" t="str">
        <f>IF($B111="","",AVERAGEIFS(POS_elev,POS_Time,"&gt;="&amp;($C111+CONVERT(Variables!$C$12,"sec","day")),POS_Time,"&lt;="&amp;($D111-CONVERT(Variables!$C$12+1,"sec","day")),POS_Q,"&lt;="&amp;Variables!$C$11)-S111)</f>
        <v/>
      </c>
      <c r="J111" s="26" t="str">
        <f>IF($B111="","",'Rover CSV Data'!D111)</f>
        <v/>
      </c>
      <c r="K111" s="26" t="str">
        <f>IF($B111="","",'Rover CSV Data'!C111)</f>
        <v/>
      </c>
      <c r="L111" s="26" t="str">
        <f>IF($B111="","",'Rover CSV Data'!E111)</f>
        <v/>
      </c>
      <c r="M111" s="30" t="str">
        <f>IF($B111="","",AVERAGEIFS(sdn,POS_Time,"&gt;="&amp;($C111+CONVERT(Variables!$C$12,"sec","day")),POS_Time,"&lt;="&amp;($D111-CONVERT(Variables!$C$12+1,"sec","day")),POS_Q,"&lt;="&amp;Variables!$C$11))</f>
        <v/>
      </c>
      <c r="N111" s="31" t="str">
        <f>IF($B111="","",AVERAGEIFS(sde,POS_Time,"&gt;="&amp;($C111+CONVERT(Variables!$C$12,"sec","day")),POS_Time,"&lt;="&amp;($D111-CONVERT(Variables!$C$12+1,"sec","day")),POS_Q,"&lt;="&amp;Variables!$C$11))</f>
        <v/>
      </c>
      <c r="O111" s="31" t="str">
        <f>IF($B111="","",AVERAGEIFS(sdu,POS_Time,"&gt;="&amp;($C111+CONVERT(Variables!$C$12,"sec","day")),POS_Time,"&lt;="&amp;($D111-CONVERT(Variables!$C$12+1,"sec","day")),POS_Q,"&lt;="&amp;Variables!$C$11))</f>
        <v/>
      </c>
      <c r="P111" s="32" t="str">
        <f t="array" ref="P111">IF($B111="","",STDEV(IF(POS_Time&gt;=($C111+CONVERT(Variables!$C$12,"sec","day")),IF(POS_Time&lt;=($D111-CONVERT(Variables!$C$12+1,"sec","day")),IF(POS_Q&lt;=Variables!$C$11,POS_Lat)))))</f>
        <v/>
      </c>
      <c r="Q111" s="32" t="str">
        <f t="array" ref="Q111">IF($B111="","",STDEV(IF(POS_Time&gt;=($C111+CONVERT(Variables!$C$12,"sec","day")),IF(POS_Time&lt;=($D111-CONVERT(Variables!$C$12+1,"sec","day")),IF(POS_Q&lt;=Variables!$C$11,POS_Long)))))</f>
        <v/>
      </c>
      <c r="R111" s="32" t="str">
        <f t="array" ref="R111">IF($B111="","",STDEV(IF(POS_Time&gt;=($C111+CONVERT(Variables!$C$12,"sec","day")),IF(POS_Time&lt;=($D111-CONVERT(Variables!$C$12+1,"sec","day")),IF(POS_Q&lt;=Variables!$C$11,POS_elev)))))</f>
        <v/>
      </c>
      <c r="S111" s="30" t="str">
        <f>IF($B111="","",'Rover CSV Data'!K111)</f>
        <v/>
      </c>
      <c r="T111" s="26" t="str">
        <f>IF($B111="","",COUNTIFS(POS_Time,"&gt;="&amp;($C111+CONVERT(Variables!$C$12,"sec","day")),POS_Time,"&lt;="&amp;($D111-CONVERT(Variables!$C$12+1,"sec","day")),POS_Q,"&lt;="&amp;Variables!$C$11))</f>
        <v/>
      </c>
      <c r="U111" s="26" t="str">
        <f>IF($B111="","",IF(1&gt;Variables!$C$11,0,COUNTIFS(POS_Time,"&gt;="&amp;($C111+CONVERT(Variables!$C$12,"sec","day")),POS_Time,"&lt;="&amp;($D111-CONVERT(Variables!$C$12+1,"sec","day")),POS_Q,"=1")))</f>
        <v/>
      </c>
      <c r="V111" s="26" t="str">
        <f>IF($B111="","",IF(2&gt;Variables!$C$11,0,COUNTIFS(POS_Time,"&gt;="&amp;($C111+CONVERT(Variables!$C$12,"sec","day")),POS_Time,"&lt;="&amp;($D111-CONVERT(Variables!$C$12+1,"sec","day")),POS_Q,"=2")))</f>
        <v/>
      </c>
      <c r="W111" s="26" t="str">
        <f>IF($B111="","",IF(3&gt;Variables!$C$11,0,COUNTIFS(POS_Time,"&gt;="&amp;($C111+CONVERT(Variables!$C$12,"sec","day")),POS_Time,"&lt;="&amp;($D111-CONVERT(Variables!$C$12+1,"sec","day")),POS_Q,"=3")))</f>
        <v/>
      </c>
      <c r="X111" s="26" t="str">
        <f>IF($B111="","",IF(4&gt;Variables!$C$11,0,COUNTIFS(POS_Time,"&gt;="&amp;($C111+CONVERT(Variables!$C$12,"sec","day")),POS_Time,"&lt;="&amp;($D111-CONVERT(Variables!$C$12+1,"sec","day")),POS_Q,"=4")))</f>
        <v/>
      </c>
      <c r="Y111" s="26" t="str">
        <f>IF($B111="","",IF(5&gt;Variables!$C$11,0,COUNTIFS(POS_Time,"&gt;="&amp;($C111+CONVERT(Variables!$C$12,"sec","day")),POS_Time,"&lt;="&amp;($D111-CONVERT(Variables!$C$12+1,"sec","day")),POS_Q,"=5")))</f>
        <v/>
      </c>
      <c r="Z111" s="26" t="str">
        <f>IF($B111="","",IF(6&gt;Variables!$C$11,0,COUNTIFS(POS_Time,"&gt;="&amp;($C111+CONVERT(Variables!$C$12,"sec","day")),POS_Time,"&lt;="&amp;($D111-CONVERT(Variables!$C$12+1,"sec","day")),POS_Q,"=6")))</f>
        <v/>
      </c>
    </row>
    <row r="112" spans="1:26" x14ac:dyDescent="0.25">
      <c r="A112" s="2">
        <v>111</v>
      </c>
      <c r="B112" s="27" t="str">
        <f>IF((ROW()-1)&lt;=RoverStations,'Rover CSV Data'!B112,"")</f>
        <v/>
      </c>
      <c r="C112" s="28" t="str">
        <f>IF($B112="","",DATEVALUE(LEFT('Rover CSV Data'!F112,FIND(" ",'Rover CSV Data'!F112)-1))+TIMEVALUE(MID('Rover CSV Data'!F112,LEN('Rover CSV Data'!F112)-FIND(" ",'Rover CSV Data'!F112),(FIND(" UTC",'Rover CSV Data'!F112))-(LEN('Rover CSV Data'!F112)-FIND(" ",'Rover CSV Data'!F112)))))</f>
        <v/>
      </c>
      <c r="D112" s="28" t="str">
        <f>IF($B112="","",DATEVALUE(LEFT('Rover CSV Data'!G112,FIND(" ",'Rover CSV Data'!G112)-1))+TIMEVALUE(MID('Rover CSV Data'!G112,LEN('Rover CSV Data'!G112)-FIND(" ",'Rover CSV Data'!G112),(FIND(" UTC",'Rover CSV Data'!G112))-(LEN('Rover CSV Data'!G112)-FIND(" ",'Rover CSV Data'!G112)))))</f>
        <v/>
      </c>
      <c r="E112" s="29" t="str">
        <f t="shared" si="2"/>
        <v/>
      </c>
      <c r="F112" s="26" t="str">
        <f>IF($B112="","",'Rover CSV Data'!J112)</f>
        <v/>
      </c>
      <c r="G112" s="26" t="str">
        <f>IF($B112="","",AVERAGEIFS(POS_Lat,POS_Time,"&gt;="&amp;($C112+CONVERT(Variables!$C$12,"sec","day")),POS_Time,"&lt;="&amp;($D112-CONVERT(Variables!$C$12+1,"sec","day")),POS_Q,"&lt;="&amp;Variables!$C$11))</f>
        <v/>
      </c>
      <c r="H112" s="26" t="str">
        <f>IF($B112="","",AVERAGEIFS(POS_Long,POS_Time,"&gt;="&amp;($C112+CONVERT(Variables!$C$12,"sec","day")),POS_Time,"&lt;="&amp;($D112-CONVERT(Variables!$C$12+1,"sec","day")),POS_Q,"&lt;="&amp;Variables!$C$11))</f>
        <v/>
      </c>
      <c r="I112" s="30" t="str">
        <f>IF($B112="","",AVERAGEIFS(POS_elev,POS_Time,"&gt;="&amp;($C112+CONVERT(Variables!$C$12,"sec","day")),POS_Time,"&lt;="&amp;($D112-CONVERT(Variables!$C$12+1,"sec","day")),POS_Q,"&lt;="&amp;Variables!$C$11)-S112)</f>
        <v/>
      </c>
      <c r="J112" s="26" t="str">
        <f>IF($B112="","",'Rover CSV Data'!D112)</f>
        <v/>
      </c>
      <c r="K112" s="26" t="str">
        <f>IF($B112="","",'Rover CSV Data'!C112)</f>
        <v/>
      </c>
      <c r="L112" s="26" t="str">
        <f>IF($B112="","",'Rover CSV Data'!E112)</f>
        <v/>
      </c>
      <c r="M112" s="30" t="str">
        <f>IF($B112="","",AVERAGEIFS(sdn,POS_Time,"&gt;="&amp;($C112+CONVERT(Variables!$C$12,"sec","day")),POS_Time,"&lt;="&amp;($D112-CONVERT(Variables!$C$12+1,"sec","day")),POS_Q,"&lt;="&amp;Variables!$C$11))</f>
        <v/>
      </c>
      <c r="N112" s="31" t="str">
        <f>IF($B112="","",AVERAGEIFS(sde,POS_Time,"&gt;="&amp;($C112+CONVERT(Variables!$C$12,"sec","day")),POS_Time,"&lt;="&amp;($D112-CONVERT(Variables!$C$12+1,"sec","day")),POS_Q,"&lt;="&amp;Variables!$C$11))</f>
        <v/>
      </c>
      <c r="O112" s="31" t="str">
        <f>IF($B112="","",AVERAGEIFS(sdu,POS_Time,"&gt;="&amp;($C112+CONVERT(Variables!$C$12,"sec","day")),POS_Time,"&lt;="&amp;($D112-CONVERT(Variables!$C$12+1,"sec","day")),POS_Q,"&lt;="&amp;Variables!$C$11))</f>
        <v/>
      </c>
      <c r="P112" s="32" t="str">
        <f t="array" ref="P112">IF($B112="","",STDEV(IF(POS_Time&gt;=($C112+CONVERT(Variables!$C$12,"sec","day")),IF(POS_Time&lt;=($D112-CONVERT(Variables!$C$12+1,"sec","day")),IF(POS_Q&lt;=Variables!$C$11,POS_Lat)))))</f>
        <v/>
      </c>
      <c r="Q112" s="32" t="str">
        <f t="array" ref="Q112">IF($B112="","",STDEV(IF(POS_Time&gt;=($C112+CONVERT(Variables!$C$12,"sec","day")),IF(POS_Time&lt;=($D112-CONVERT(Variables!$C$12+1,"sec","day")),IF(POS_Q&lt;=Variables!$C$11,POS_Long)))))</f>
        <v/>
      </c>
      <c r="R112" s="32" t="str">
        <f t="array" ref="R112">IF($B112="","",STDEV(IF(POS_Time&gt;=($C112+CONVERT(Variables!$C$12,"sec","day")),IF(POS_Time&lt;=($D112-CONVERT(Variables!$C$12+1,"sec","day")),IF(POS_Q&lt;=Variables!$C$11,POS_elev)))))</f>
        <v/>
      </c>
      <c r="S112" s="30" t="str">
        <f>IF($B112="","",'Rover CSV Data'!K112)</f>
        <v/>
      </c>
      <c r="T112" s="26" t="str">
        <f>IF($B112="","",COUNTIFS(POS_Time,"&gt;="&amp;($C112+CONVERT(Variables!$C$12,"sec","day")),POS_Time,"&lt;="&amp;($D112-CONVERT(Variables!$C$12+1,"sec","day")),POS_Q,"&lt;="&amp;Variables!$C$11))</f>
        <v/>
      </c>
      <c r="U112" s="26" t="str">
        <f>IF($B112="","",IF(1&gt;Variables!$C$11,0,COUNTIFS(POS_Time,"&gt;="&amp;($C112+CONVERT(Variables!$C$12,"sec","day")),POS_Time,"&lt;="&amp;($D112-CONVERT(Variables!$C$12+1,"sec","day")),POS_Q,"=1")))</f>
        <v/>
      </c>
      <c r="V112" s="26" t="str">
        <f>IF($B112="","",IF(2&gt;Variables!$C$11,0,COUNTIFS(POS_Time,"&gt;="&amp;($C112+CONVERT(Variables!$C$12,"sec","day")),POS_Time,"&lt;="&amp;($D112-CONVERT(Variables!$C$12+1,"sec","day")),POS_Q,"=2")))</f>
        <v/>
      </c>
      <c r="W112" s="26" t="str">
        <f>IF($B112="","",IF(3&gt;Variables!$C$11,0,COUNTIFS(POS_Time,"&gt;="&amp;($C112+CONVERT(Variables!$C$12,"sec","day")),POS_Time,"&lt;="&amp;($D112-CONVERT(Variables!$C$12+1,"sec","day")),POS_Q,"=3")))</f>
        <v/>
      </c>
      <c r="X112" s="26" t="str">
        <f>IF($B112="","",IF(4&gt;Variables!$C$11,0,COUNTIFS(POS_Time,"&gt;="&amp;($C112+CONVERT(Variables!$C$12,"sec","day")),POS_Time,"&lt;="&amp;($D112-CONVERT(Variables!$C$12+1,"sec","day")),POS_Q,"=4")))</f>
        <v/>
      </c>
      <c r="Y112" s="26" t="str">
        <f>IF($B112="","",IF(5&gt;Variables!$C$11,0,COUNTIFS(POS_Time,"&gt;="&amp;($C112+CONVERT(Variables!$C$12,"sec","day")),POS_Time,"&lt;="&amp;($D112-CONVERT(Variables!$C$12+1,"sec","day")),POS_Q,"=5")))</f>
        <v/>
      </c>
      <c r="Z112" s="26" t="str">
        <f>IF($B112="","",IF(6&gt;Variables!$C$11,0,COUNTIFS(POS_Time,"&gt;="&amp;($C112+CONVERT(Variables!$C$12,"sec","day")),POS_Time,"&lt;="&amp;($D112-CONVERT(Variables!$C$12+1,"sec","day")),POS_Q,"=6")))</f>
        <v/>
      </c>
    </row>
    <row r="113" spans="1:26" x14ac:dyDescent="0.25">
      <c r="A113" s="2">
        <v>112</v>
      </c>
      <c r="B113" s="27" t="str">
        <f>IF((ROW()-1)&lt;=RoverStations,'Rover CSV Data'!B113,"")</f>
        <v/>
      </c>
      <c r="C113" s="28" t="str">
        <f>IF($B113="","",DATEVALUE(LEFT('Rover CSV Data'!F113,FIND(" ",'Rover CSV Data'!F113)-1))+TIMEVALUE(MID('Rover CSV Data'!F113,LEN('Rover CSV Data'!F113)-FIND(" ",'Rover CSV Data'!F113),(FIND(" UTC",'Rover CSV Data'!F113))-(LEN('Rover CSV Data'!F113)-FIND(" ",'Rover CSV Data'!F113)))))</f>
        <v/>
      </c>
      <c r="D113" s="28" t="str">
        <f>IF($B113="","",DATEVALUE(LEFT('Rover CSV Data'!G113,FIND(" ",'Rover CSV Data'!G113)-1))+TIMEVALUE(MID('Rover CSV Data'!G113,LEN('Rover CSV Data'!G113)-FIND(" ",'Rover CSV Data'!G113),(FIND(" UTC",'Rover CSV Data'!G113))-(LEN('Rover CSV Data'!G113)-FIND(" ",'Rover CSV Data'!G113)))))</f>
        <v/>
      </c>
      <c r="E113" s="29" t="str">
        <f t="shared" si="2"/>
        <v/>
      </c>
      <c r="F113" s="26" t="str">
        <f>IF($B113="","",'Rover CSV Data'!J113)</f>
        <v/>
      </c>
      <c r="G113" s="26" t="str">
        <f>IF($B113="","",AVERAGEIFS(POS_Lat,POS_Time,"&gt;="&amp;($C113+CONVERT(Variables!$C$12,"sec","day")),POS_Time,"&lt;="&amp;($D113-CONVERT(Variables!$C$12+1,"sec","day")),POS_Q,"&lt;="&amp;Variables!$C$11))</f>
        <v/>
      </c>
      <c r="H113" s="26" t="str">
        <f>IF($B113="","",AVERAGEIFS(POS_Long,POS_Time,"&gt;="&amp;($C113+CONVERT(Variables!$C$12,"sec","day")),POS_Time,"&lt;="&amp;($D113-CONVERT(Variables!$C$12+1,"sec","day")),POS_Q,"&lt;="&amp;Variables!$C$11))</f>
        <v/>
      </c>
      <c r="I113" s="30" t="str">
        <f>IF($B113="","",AVERAGEIFS(POS_elev,POS_Time,"&gt;="&amp;($C113+CONVERT(Variables!$C$12,"sec","day")),POS_Time,"&lt;="&amp;($D113-CONVERT(Variables!$C$12+1,"sec","day")),POS_Q,"&lt;="&amp;Variables!$C$11)-S113)</f>
        <v/>
      </c>
      <c r="J113" s="26" t="str">
        <f>IF($B113="","",'Rover CSV Data'!D113)</f>
        <v/>
      </c>
      <c r="K113" s="26" t="str">
        <f>IF($B113="","",'Rover CSV Data'!C113)</f>
        <v/>
      </c>
      <c r="L113" s="26" t="str">
        <f>IF($B113="","",'Rover CSV Data'!E113)</f>
        <v/>
      </c>
      <c r="M113" s="30" t="str">
        <f>IF($B113="","",AVERAGEIFS(sdn,POS_Time,"&gt;="&amp;($C113+CONVERT(Variables!$C$12,"sec","day")),POS_Time,"&lt;="&amp;($D113-CONVERT(Variables!$C$12+1,"sec","day")),POS_Q,"&lt;="&amp;Variables!$C$11))</f>
        <v/>
      </c>
      <c r="N113" s="31" t="str">
        <f>IF($B113="","",AVERAGEIFS(sde,POS_Time,"&gt;="&amp;($C113+CONVERT(Variables!$C$12,"sec","day")),POS_Time,"&lt;="&amp;($D113-CONVERT(Variables!$C$12+1,"sec","day")),POS_Q,"&lt;="&amp;Variables!$C$11))</f>
        <v/>
      </c>
      <c r="O113" s="31" t="str">
        <f>IF($B113="","",AVERAGEIFS(sdu,POS_Time,"&gt;="&amp;($C113+CONVERT(Variables!$C$12,"sec","day")),POS_Time,"&lt;="&amp;($D113-CONVERT(Variables!$C$12+1,"sec","day")),POS_Q,"&lt;="&amp;Variables!$C$11))</f>
        <v/>
      </c>
      <c r="P113" s="32" t="str">
        <f t="array" ref="P113">IF($B113="","",STDEV(IF(POS_Time&gt;=($C113+CONVERT(Variables!$C$12,"sec","day")),IF(POS_Time&lt;=($D113-CONVERT(Variables!$C$12+1,"sec","day")),IF(POS_Q&lt;=Variables!$C$11,POS_Lat)))))</f>
        <v/>
      </c>
      <c r="Q113" s="32" t="str">
        <f t="array" ref="Q113">IF($B113="","",STDEV(IF(POS_Time&gt;=($C113+CONVERT(Variables!$C$12,"sec","day")),IF(POS_Time&lt;=($D113-CONVERT(Variables!$C$12+1,"sec","day")),IF(POS_Q&lt;=Variables!$C$11,POS_Long)))))</f>
        <v/>
      </c>
      <c r="R113" s="32" t="str">
        <f t="array" ref="R113">IF($B113="","",STDEV(IF(POS_Time&gt;=($C113+CONVERT(Variables!$C$12,"sec","day")),IF(POS_Time&lt;=($D113-CONVERT(Variables!$C$12+1,"sec","day")),IF(POS_Q&lt;=Variables!$C$11,POS_elev)))))</f>
        <v/>
      </c>
      <c r="S113" s="30" t="str">
        <f>IF($B113="","",'Rover CSV Data'!K113)</f>
        <v/>
      </c>
      <c r="T113" s="26" t="str">
        <f>IF($B113="","",COUNTIFS(POS_Time,"&gt;="&amp;($C113+CONVERT(Variables!$C$12,"sec","day")),POS_Time,"&lt;="&amp;($D113-CONVERT(Variables!$C$12+1,"sec","day")),POS_Q,"&lt;="&amp;Variables!$C$11))</f>
        <v/>
      </c>
      <c r="U113" s="26" t="str">
        <f>IF($B113="","",IF(1&gt;Variables!$C$11,0,COUNTIFS(POS_Time,"&gt;="&amp;($C113+CONVERT(Variables!$C$12,"sec","day")),POS_Time,"&lt;="&amp;($D113-CONVERT(Variables!$C$12+1,"sec","day")),POS_Q,"=1")))</f>
        <v/>
      </c>
      <c r="V113" s="26" t="str">
        <f>IF($B113="","",IF(2&gt;Variables!$C$11,0,COUNTIFS(POS_Time,"&gt;="&amp;($C113+CONVERT(Variables!$C$12,"sec","day")),POS_Time,"&lt;="&amp;($D113-CONVERT(Variables!$C$12+1,"sec","day")),POS_Q,"=2")))</f>
        <v/>
      </c>
      <c r="W113" s="26" t="str">
        <f>IF($B113="","",IF(3&gt;Variables!$C$11,0,COUNTIFS(POS_Time,"&gt;="&amp;($C113+CONVERT(Variables!$C$12,"sec","day")),POS_Time,"&lt;="&amp;($D113-CONVERT(Variables!$C$12+1,"sec","day")),POS_Q,"=3")))</f>
        <v/>
      </c>
      <c r="X113" s="26" t="str">
        <f>IF($B113="","",IF(4&gt;Variables!$C$11,0,COUNTIFS(POS_Time,"&gt;="&amp;($C113+CONVERT(Variables!$C$12,"sec","day")),POS_Time,"&lt;="&amp;($D113-CONVERT(Variables!$C$12+1,"sec","day")),POS_Q,"=4")))</f>
        <v/>
      </c>
      <c r="Y113" s="26" t="str">
        <f>IF($B113="","",IF(5&gt;Variables!$C$11,0,COUNTIFS(POS_Time,"&gt;="&amp;($C113+CONVERT(Variables!$C$12,"sec","day")),POS_Time,"&lt;="&amp;($D113-CONVERT(Variables!$C$12+1,"sec","day")),POS_Q,"=5")))</f>
        <v/>
      </c>
      <c r="Z113" s="26" t="str">
        <f>IF($B113="","",IF(6&gt;Variables!$C$11,0,COUNTIFS(POS_Time,"&gt;="&amp;($C113+CONVERT(Variables!$C$12,"sec","day")),POS_Time,"&lt;="&amp;($D113-CONVERT(Variables!$C$12+1,"sec","day")),POS_Q,"=6")))</f>
        <v/>
      </c>
    </row>
    <row r="114" spans="1:26" x14ac:dyDescent="0.25">
      <c r="A114" s="2">
        <v>113</v>
      </c>
      <c r="B114" s="27" t="str">
        <f>IF((ROW()-1)&lt;=RoverStations,'Rover CSV Data'!B114,"")</f>
        <v/>
      </c>
      <c r="C114" s="28" t="str">
        <f>IF($B114="","",DATEVALUE(LEFT('Rover CSV Data'!F114,FIND(" ",'Rover CSV Data'!F114)-1))+TIMEVALUE(MID('Rover CSV Data'!F114,LEN('Rover CSV Data'!F114)-FIND(" ",'Rover CSV Data'!F114),(FIND(" UTC",'Rover CSV Data'!F114))-(LEN('Rover CSV Data'!F114)-FIND(" ",'Rover CSV Data'!F114)))))</f>
        <v/>
      </c>
      <c r="D114" s="28" t="str">
        <f>IF($B114="","",DATEVALUE(LEFT('Rover CSV Data'!G114,FIND(" ",'Rover CSV Data'!G114)-1))+TIMEVALUE(MID('Rover CSV Data'!G114,LEN('Rover CSV Data'!G114)-FIND(" ",'Rover CSV Data'!G114),(FIND(" UTC",'Rover CSV Data'!G114))-(LEN('Rover CSV Data'!G114)-FIND(" ",'Rover CSV Data'!G114)))))</f>
        <v/>
      </c>
      <c r="E114" s="29" t="str">
        <f t="shared" si="2"/>
        <v/>
      </c>
      <c r="F114" s="26" t="str">
        <f>IF($B114="","",'Rover CSV Data'!J114)</f>
        <v/>
      </c>
      <c r="G114" s="26" t="str">
        <f>IF($B114="","",AVERAGEIFS(POS_Lat,POS_Time,"&gt;="&amp;($C114+CONVERT(Variables!$C$12,"sec","day")),POS_Time,"&lt;="&amp;($D114-CONVERT(Variables!$C$12+1,"sec","day")),POS_Q,"&lt;="&amp;Variables!$C$11))</f>
        <v/>
      </c>
      <c r="H114" s="26" t="str">
        <f>IF($B114="","",AVERAGEIFS(POS_Long,POS_Time,"&gt;="&amp;($C114+CONVERT(Variables!$C$12,"sec","day")),POS_Time,"&lt;="&amp;($D114-CONVERT(Variables!$C$12+1,"sec","day")),POS_Q,"&lt;="&amp;Variables!$C$11))</f>
        <v/>
      </c>
      <c r="I114" s="30" t="str">
        <f>IF($B114="","",AVERAGEIFS(POS_elev,POS_Time,"&gt;="&amp;($C114+CONVERT(Variables!$C$12,"sec","day")),POS_Time,"&lt;="&amp;($D114-CONVERT(Variables!$C$12+1,"sec","day")),POS_Q,"&lt;="&amp;Variables!$C$11)-S114)</f>
        <v/>
      </c>
      <c r="J114" s="26" t="str">
        <f>IF($B114="","",'Rover CSV Data'!D114)</f>
        <v/>
      </c>
      <c r="K114" s="26" t="str">
        <f>IF($B114="","",'Rover CSV Data'!C114)</f>
        <v/>
      </c>
      <c r="L114" s="26" t="str">
        <f>IF($B114="","",'Rover CSV Data'!E114)</f>
        <v/>
      </c>
      <c r="M114" s="30" t="str">
        <f>IF($B114="","",AVERAGEIFS(sdn,POS_Time,"&gt;="&amp;($C114+CONVERT(Variables!$C$12,"sec","day")),POS_Time,"&lt;="&amp;($D114-CONVERT(Variables!$C$12+1,"sec","day")),POS_Q,"&lt;="&amp;Variables!$C$11))</f>
        <v/>
      </c>
      <c r="N114" s="31" t="str">
        <f>IF($B114="","",AVERAGEIFS(sde,POS_Time,"&gt;="&amp;($C114+CONVERT(Variables!$C$12,"sec","day")),POS_Time,"&lt;="&amp;($D114-CONVERT(Variables!$C$12+1,"sec","day")),POS_Q,"&lt;="&amp;Variables!$C$11))</f>
        <v/>
      </c>
      <c r="O114" s="31" t="str">
        <f>IF($B114="","",AVERAGEIFS(sdu,POS_Time,"&gt;="&amp;($C114+CONVERT(Variables!$C$12,"sec","day")),POS_Time,"&lt;="&amp;($D114-CONVERT(Variables!$C$12+1,"sec","day")),POS_Q,"&lt;="&amp;Variables!$C$11))</f>
        <v/>
      </c>
      <c r="P114" s="32" t="str">
        <f t="array" ref="P114">IF($B114="","",STDEV(IF(POS_Time&gt;=($C114+CONVERT(Variables!$C$12,"sec","day")),IF(POS_Time&lt;=($D114-CONVERT(Variables!$C$12+1,"sec","day")),IF(POS_Q&lt;=Variables!$C$11,POS_Lat)))))</f>
        <v/>
      </c>
      <c r="Q114" s="32" t="str">
        <f t="array" ref="Q114">IF($B114="","",STDEV(IF(POS_Time&gt;=($C114+CONVERT(Variables!$C$12,"sec","day")),IF(POS_Time&lt;=($D114-CONVERT(Variables!$C$12+1,"sec","day")),IF(POS_Q&lt;=Variables!$C$11,POS_Long)))))</f>
        <v/>
      </c>
      <c r="R114" s="32" t="str">
        <f t="array" ref="R114">IF($B114="","",STDEV(IF(POS_Time&gt;=($C114+CONVERT(Variables!$C$12,"sec","day")),IF(POS_Time&lt;=($D114-CONVERT(Variables!$C$12+1,"sec","day")),IF(POS_Q&lt;=Variables!$C$11,POS_elev)))))</f>
        <v/>
      </c>
      <c r="S114" s="30" t="str">
        <f>IF($B114="","",'Rover CSV Data'!K114)</f>
        <v/>
      </c>
      <c r="T114" s="26" t="str">
        <f>IF($B114="","",COUNTIFS(POS_Time,"&gt;="&amp;($C114+CONVERT(Variables!$C$12,"sec","day")),POS_Time,"&lt;="&amp;($D114-CONVERT(Variables!$C$12+1,"sec","day")),POS_Q,"&lt;="&amp;Variables!$C$11))</f>
        <v/>
      </c>
      <c r="U114" s="26" t="str">
        <f>IF($B114="","",IF(1&gt;Variables!$C$11,0,COUNTIFS(POS_Time,"&gt;="&amp;($C114+CONVERT(Variables!$C$12,"sec","day")),POS_Time,"&lt;="&amp;($D114-CONVERT(Variables!$C$12+1,"sec","day")),POS_Q,"=1")))</f>
        <v/>
      </c>
      <c r="V114" s="26" t="str">
        <f>IF($B114="","",IF(2&gt;Variables!$C$11,0,COUNTIFS(POS_Time,"&gt;="&amp;($C114+CONVERT(Variables!$C$12,"sec","day")),POS_Time,"&lt;="&amp;($D114-CONVERT(Variables!$C$12+1,"sec","day")),POS_Q,"=2")))</f>
        <v/>
      </c>
      <c r="W114" s="26" t="str">
        <f>IF($B114="","",IF(3&gt;Variables!$C$11,0,COUNTIFS(POS_Time,"&gt;="&amp;($C114+CONVERT(Variables!$C$12,"sec","day")),POS_Time,"&lt;="&amp;($D114-CONVERT(Variables!$C$12+1,"sec","day")),POS_Q,"=3")))</f>
        <v/>
      </c>
      <c r="X114" s="26" t="str">
        <f>IF($B114="","",IF(4&gt;Variables!$C$11,0,COUNTIFS(POS_Time,"&gt;="&amp;($C114+CONVERT(Variables!$C$12,"sec","day")),POS_Time,"&lt;="&amp;($D114-CONVERT(Variables!$C$12+1,"sec","day")),POS_Q,"=4")))</f>
        <v/>
      </c>
      <c r="Y114" s="26" t="str">
        <f>IF($B114="","",IF(5&gt;Variables!$C$11,0,COUNTIFS(POS_Time,"&gt;="&amp;($C114+CONVERT(Variables!$C$12,"sec","day")),POS_Time,"&lt;="&amp;($D114-CONVERT(Variables!$C$12+1,"sec","day")),POS_Q,"=5")))</f>
        <v/>
      </c>
      <c r="Z114" s="26" t="str">
        <f>IF($B114="","",IF(6&gt;Variables!$C$11,0,COUNTIFS(POS_Time,"&gt;="&amp;($C114+CONVERT(Variables!$C$12,"sec","day")),POS_Time,"&lt;="&amp;($D114-CONVERT(Variables!$C$12+1,"sec","day")),POS_Q,"=6")))</f>
        <v/>
      </c>
    </row>
    <row r="115" spans="1:26" x14ac:dyDescent="0.25">
      <c r="A115" s="2">
        <v>114</v>
      </c>
      <c r="B115" s="27" t="str">
        <f>IF((ROW()-1)&lt;=RoverStations,'Rover CSV Data'!B115,"")</f>
        <v/>
      </c>
      <c r="C115" s="28" t="str">
        <f>IF($B115="","",DATEVALUE(LEFT('Rover CSV Data'!F115,FIND(" ",'Rover CSV Data'!F115)-1))+TIMEVALUE(MID('Rover CSV Data'!F115,LEN('Rover CSV Data'!F115)-FIND(" ",'Rover CSV Data'!F115),(FIND(" UTC",'Rover CSV Data'!F115))-(LEN('Rover CSV Data'!F115)-FIND(" ",'Rover CSV Data'!F115)))))</f>
        <v/>
      </c>
      <c r="D115" s="28" t="str">
        <f>IF($B115="","",DATEVALUE(LEFT('Rover CSV Data'!G115,FIND(" ",'Rover CSV Data'!G115)-1))+TIMEVALUE(MID('Rover CSV Data'!G115,LEN('Rover CSV Data'!G115)-FIND(" ",'Rover CSV Data'!G115),(FIND(" UTC",'Rover CSV Data'!G115))-(LEN('Rover CSV Data'!G115)-FIND(" ",'Rover CSV Data'!G115)))))</f>
        <v/>
      </c>
      <c r="E115" s="29" t="str">
        <f t="shared" si="2"/>
        <v/>
      </c>
      <c r="F115" s="26" t="str">
        <f>IF($B115="","",'Rover CSV Data'!J115)</f>
        <v/>
      </c>
      <c r="G115" s="26" t="str">
        <f>IF($B115="","",AVERAGEIFS(POS_Lat,POS_Time,"&gt;="&amp;($C115+CONVERT(Variables!$C$12,"sec","day")),POS_Time,"&lt;="&amp;($D115-CONVERT(Variables!$C$12+1,"sec","day")),POS_Q,"&lt;="&amp;Variables!$C$11))</f>
        <v/>
      </c>
      <c r="H115" s="26" t="str">
        <f>IF($B115="","",AVERAGEIFS(POS_Long,POS_Time,"&gt;="&amp;($C115+CONVERT(Variables!$C$12,"sec","day")),POS_Time,"&lt;="&amp;($D115-CONVERT(Variables!$C$12+1,"sec","day")),POS_Q,"&lt;="&amp;Variables!$C$11))</f>
        <v/>
      </c>
      <c r="I115" s="30" t="str">
        <f>IF($B115="","",AVERAGEIFS(POS_elev,POS_Time,"&gt;="&amp;($C115+CONVERT(Variables!$C$12,"sec","day")),POS_Time,"&lt;="&amp;($D115-CONVERT(Variables!$C$12+1,"sec","day")),POS_Q,"&lt;="&amp;Variables!$C$11)-S115)</f>
        <v/>
      </c>
      <c r="J115" s="26" t="str">
        <f>IF($B115="","",'Rover CSV Data'!D115)</f>
        <v/>
      </c>
      <c r="K115" s="26" t="str">
        <f>IF($B115="","",'Rover CSV Data'!C115)</f>
        <v/>
      </c>
      <c r="L115" s="26" t="str">
        <f>IF($B115="","",'Rover CSV Data'!E115)</f>
        <v/>
      </c>
      <c r="M115" s="30" t="str">
        <f>IF($B115="","",AVERAGEIFS(sdn,POS_Time,"&gt;="&amp;($C115+CONVERT(Variables!$C$12,"sec","day")),POS_Time,"&lt;="&amp;($D115-CONVERT(Variables!$C$12+1,"sec","day")),POS_Q,"&lt;="&amp;Variables!$C$11))</f>
        <v/>
      </c>
      <c r="N115" s="31" t="str">
        <f>IF($B115="","",AVERAGEIFS(sde,POS_Time,"&gt;="&amp;($C115+CONVERT(Variables!$C$12,"sec","day")),POS_Time,"&lt;="&amp;($D115-CONVERT(Variables!$C$12+1,"sec","day")),POS_Q,"&lt;="&amp;Variables!$C$11))</f>
        <v/>
      </c>
      <c r="O115" s="31" t="str">
        <f>IF($B115="","",AVERAGEIFS(sdu,POS_Time,"&gt;="&amp;($C115+CONVERT(Variables!$C$12,"sec","day")),POS_Time,"&lt;="&amp;($D115-CONVERT(Variables!$C$12+1,"sec","day")),POS_Q,"&lt;="&amp;Variables!$C$11))</f>
        <v/>
      </c>
      <c r="P115" s="32" t="str">
        <f t="array" ref="P115">IF($B115="","",STDEV(IF(POS_Time&gt;=($C115+CONVERT(Variables!$C$12,"sec","day")),IF(POS_Time&lt;=($D115-CONVERT(Variables!$C$12+1,"sec","day")),IF(POS_Q&lt;=Variables!$C$11,POS_Lat)))))</f>
        <v/>
      </c>
      <c r="Q115" s="32" t="str">
        <f t="array" ref="Q115">IF($B115="","",STDEV(IF(POS_Time&gt;=($C115+CONVERT(Variables!$C$12,"sec","day")),IF(POS_Time&lt;=($D115-CONVERT(Variables!$C$12+1,"sec","day")),IF(POS_Q&lt;=Variables!$C$11,POS_Long)))))</f>
        <v/>
      </c>
      <c r="R115" s="32" t="str">
        <f t="array" ref="R115">IF($B115="","",STDEV(IF(POS_Time&gt;=($C115+CONVERT(Variables!$C$12,"sec","day")),IF(POS_Time&lt;=($D115-CONVERT(Variables!$C$12+1,"sec","day")),IF(POS_Q&lt;=Variables!$C$11,POS_elev)))))</f>
        <v/>
      </c>
      <c r="S115" s="30" t="str">
        <f>IF($B115="","",'Rover CSV Data'!K115)</f>
        <v/>
      </c>
      <c r="T115" s="26" t="str">
        <f>IF($B115="","",COUNTIFS(POS_Time,"&gt;="&amp;($C115+CONVERT(Variables!$C$12,"sec","day")),POS_Time,"&lt;="&amp;($D115-CONVERT(Variables!$C$12+1,"sec","day")),POS_Q,"&lt;="&amp;Variables!$C$11))</f>
        <v/>
      </c>
      <c r="U115" s="26" t="str">
        <f>IF($B115="","",IF(1&gt;Variables!$C$11,0,COUNTIFS(POS_Time,"&gt;="&amp;($C115+CONVERT(Variables!$C$12,"sec","day")),POS_Time,"&lt;="&amp;($D115-CONVERT(Variables!$C$12+1,"sec","day")),POS_Q,"=1")))</f>
        <v/>
      </c>
      <c r="V115" s="26" t="str">
        <f>IF($B115="","",IF(2&gt;Variables!$C$11,0,COUNTIFS(POS_Time,"&gt;="&amp;($C115+CONVERT(Variables!$C$12,"sec","day")),POS_Time,"&lt;="&amp;($D115-CONVERT(Variables!$C$12+1,"sec","day")),POS_Q,"=2")))</f>
        <v/>
      </c>
      <c r="W115" s="26" t="str">
        <f>IF($B115="","",IF(3&gt;Variables!$C$11,0,COUNTIFS(POS_Time,"&gt;="&amp;($C115+CONVERT(Variables!$C$12,"sec","day")),POS_Time,"&lt;="&amp;($D115-CONVERT(Variables!$C$12+1,"sec","day")),POS_Q,"=3")))</f>
        <v/>
      </c>
      <c r="X115" s="26" t="str">
        <f>IF($B115="","",IF(4&gt;Variables!$C$11,0,COUNTIFS(POS_Time,"&gt;="&amp;($C115+CONVERT(Variables!$C$12,"sec","day")),POS_Time,"&lt;="&amp;($D115-CONVERT(Variables!$C$12+1,"sec","day")),POS_Q,"=4")))</f>
        <v/>
      </c>
      <c r="Y115" s="26" t="str">
        <f>IF($B115="","",IF(5&gt;Variables!$C$11,0,COUNTIFS(POS_Time,"&gt;="&amp;($C115+CONVERT(Variables!$C$12,"sec","day")),POS_Time,"&lt;="&amp;($D115-CONVERT(Variables!$C$12+1,"sec","day")),POS_Q,"=5")))</f>
        <v/>
      </c>
      <c r="Z115" s="26" t="str">
        <f>IF($B115="","",IF(6&gt;Variables!$C$11,0,COUNTIFS(POS_Time,"&gt;="&amp;($C115+CONVERT(Variables!$C$12,"sec","day")),POS_Time,"&lt;="&amp;($D115-CONVERT(Variables!$C$12+1,"sec","day")),POS_Q,"=6")))</f>
        <v/>
      </c>
    </row>
    <row r="116" spans="1:26" x14ac:dyDescent="0.25">
      <c r="A116" s="2">
        <v>115</v>
      </c>
      <c r="B116" s="27" t="str">
        <f>IF((ROW()-1)&lt;=RoverStations,'Rover CSV Data'!B116,"")</f>
        <v/>
      </c>
      <c r="C116" s="28" t="str">
        <f>IF($B116="","",DATEVALUE(LEFT('Rover CSV Data'!F116,FIND(" ",'Rover CSV Data'!F116)-1))+TIMEVALUE(MID('Rover CSV Data'!F116,LEN('Rover CSV Data'!F116)-FIND(" ",'Rover CSV Data'!F116),(FIND(" UTC",'Rover CSV Data'!F116))-(LEN('Rover CSV Data'!F116)-FIND(" ",'Rover CSV Data'!F116)))))</f>
        <v/>
      </c>
      <c r="D116" s="28" t="str">
        <f>IF($B116="","",DATEVALUE(LEFT('Rover CSV Data'!G116,FIND(" ",'Rover CSV Data'!G116)-1))+TIMEVALUE(MID('Rover CSV Data'!G116,LEN('Rover CSV Data'!G116)-FIND(" ",'Rover CSV Data'!G116),(FIND(" UTC",'Rover CSV Data'!G116))-(LEN('Rover CSV Data'!G116)-FIND(" ",'Rover CSV Data'!G116)))))</f>
        <v/>
      </c>
      <c r="E116" s="29" t="str">
        <f t="shared" si="2"/>
        <v/>
      </c>
      <c r="F116" s="26" t="str">
        <f>IF($B116="","",'Rover CSV Data'!J116)</f>
        <v/>
      </c>
      <c r="G116" s="26" t="str">
        <f>IF($B116="","",AVERAGEIFS(POS_Lat,POS_Time,"&gt;="&amp;($C116+CONVERT(Variables!$C$12,"sec","day")),POS_Time,"&lt;="&amp;($D116-CONVERT(Variables!$C$12+1,"sec","day")),POS_Q,"&lt;="&amp;Variables!$C$11))</f>
        <v/>
      </c>
      <c r="H116" s="26" t="str">
        <f>IF($B116="","",AVERAGEIFS(POS_Long,POS_Time,"&gt;="&amp;($C116+CONVERT(Variables!$C$12,"sec","day")),POS_Time,"&lt;="&amp;($D116-CONVERT(Variables!$C$12+1,"sec","day")),POS_Q,"&lt;="&amp;Variables!$C$11))</f>
        <v/>
      </c>
      <c r="I116" s="30" t="str">
        <f>IF($B116="","",AVERAGEIFS(POS_elev,POS_Time,"&gt;="&amp;($C116+CONVERT(Variables!$C$12,"sec","day")),POS_Time,"&lt;="&amp;($D116-CONVERT(Variables!$C$12+1,"sec","day")),POS_Q,"&lt;="&amp;Variables!$C$11)-S116)</f>
        <v/>
      </c>
      <c r="J116" s="26" t="str">
        <f>IF($B116="","",'Rover CSV Data'!D116)</f>
        <v/>
      </c>
      <c r="K116" s="26" t="str">
        <f>IF($B116="","",'Rover CSV Data'!C116)</f>
        <v/>
      </c>
      <c r="L116" s="26" t="str">
        <f>IF($B116="","",'Rover CSV Data'!E116)</f>
        <v/>
      </c>
      <c r="M116" s="30" t="str">
        <f>IF($B116="","",AVERAGEIFS(sdn,POS_Time,"&gt;="&amp;($C116+CONVERT(Variables!$C$12,"sec","day")),POS_Time,"&lt;="&amp;($D116-CONVERT(Variables!$C$12+1,"sec","day")),POS_Q,"&lt;="&amp;Variables!$C$11))</f>
        <v/>
      </c>
      <c r="N116" s="31" t="str">
        <f>IF($B116="","",AVERAGEIFS(sde,POS_Time,"&gt;="&amp;($C116+CONVERT(Variables!$C$12,"sec","day")),POS_Time,"&lt;="&amp;($D116-CONVERT(Variables!$C$12+1,"sec","day")),POS_Q,"&lt;="&amp;Variables!$C$11))</f>
        <v/>
      </c>
      <c r="O116" s="31" t="str">
        <f>IF($B116="","",AVERAGEIFS(sdu,POS_Time,"&gt;="&amp;($C116+CONVERT(Variables!$C$12,"sec","day")),POS_Time,"&lt;="&amp;($D116-CONVERT(Variables!$C$12+1,"sec","day")),POS_Q,"&lt;="&amp;Variables!$C$11))</f>
        <v/>
      </c>
      <c r="P116" s="32" t="str">
        <f t="array" ref="P116">IF($B116="","",STDEV(IF(POS_Time&gt;=($C116+CONVERT(Variables!$C$12,"sec","day")),IF(POS_Time&lt;=($D116-CONVERT(Variables!$C$12+1,"sec","day")),IF(POS_Q&lt;=Variables!$C$11,POS_Lat)))))</f>
        <v/>
      </c>
      <c r="Q116" s="32" t="str">
        <f t="array" ref="Q116">IF($B116="","",STDEV(IF(POS_Time&gt;=($C116+CONVERT(Variables!$C$12,"sec","day")),IF(POS_Time&lt;=($D116-CONVERT(Variables!$C$12+1,"sec","day")),IF(POS_Q&lt;=Variables!$C$11,POS_Long)))))</f>
        <v/>
      </c>
      <c r="R116" s="32" t="str">
        <f t="array" ref="R116">IF($B116="","",STDEV(IF(POS_Time&gt;=($C116+CONVERT(Variables!$C$12,"sec","day")),IF(POS_Time&lt;=($D116-CONVERT(Variables!$C$12+1,"sec","day")),IF(POS_Q&lt;=Variables!$C$11,POS_elev)))))</f>
        <v/>
      </c>
      <c r="S116" s="30" t="str">
        <f>IF($B116="","",'Rover CSV Data'!K116)</f>
        <v/>
      </c>
      <c r="T116" s="26" t="str">
        <f>IF($B116="","",COUNTIFS(POS_Time,"&gt;="&amp;($C116+CONVERT(Variables!$C$12,"sec","day")),POS_Time,"&lt;="&amp;($D116-CONVERT(Variables!$C$12+1,"sec","day")),POS_Q,"&lt;="&amp;Variables!$C$11))</f>
        <v/>
      </c>
      <c r="U116" s="26" t="str">
        <f>IF($B116="","",IF(1&gt;Variables!$C$11,0,COUNTIFS(POS_Time,"&gt;="&amp;($C116+CONVERT(Variables!$C$12,"sec","day")),POS_Time,"&lt;="&amp;($D116-CONVERT(Variables!$C$12+1,"sec","day")),POS_Q,"=1")))</f>
        <v/>
      </c>
      <c r="V116" s="26" t="str">
        <f>IF($B116="","",IF(2&gt;Variables!$C$11,0,COUNTIFS(POS_Time,"&gt;="&amp;($C116+CONVERT(Variables!$C$12,"sec","day")),POS_Time,"&lt;="&amp;($D116-CONVERT(Variables!$C$12+1,"sec","day")),POS_Q,"=2")))</f>
        <v/>
      </c>
      <c r="W116" s="26" t="str">
        <f>IF($B116="","",IF(3&gt;Variables!$C$11,0,COUNTIFS(POS_Time,"&gt;="&amp;($C116+CONVERT(Variables!$C$12,"sec","day")),POS_Time,"&lt;="&amp;($D116-CONVERT(Variables!$C$12+1,"sec","day")),POS_Q,"=3")))</f>
        <v/>
      </c>
      <c r="X116" s="26" t="str">
        <f>IF($B116="","",IF(4&gt;Variables!$C$11,0,COUNTIFS(POS_Time,"&gt;="&amp;($C116+CONVERT(Variables!$C$12,"sec","day")),POS_Time,"&lt;="&amp;($D116-CONVERT(Variables!$C$12+1,"sec","day")),POS_Q,"=4")))</f>
        <v/>
      </c>
      <c r="Y116" s="26" t="str">
        <f>IF($B116="","",IF(5&gt;Variables!$C$11,0,COUNTIFS(POS_Time,"&gt;="&amp;($C116+CONVERT(Variables!$C$12,"sec","day")),POS_Time,"&lt;="&amp;($D116-CONVERT(Variables!$C$12+1,"sec","day")),POS_Q,"=5")))</f>
        <v/>
      </c>
      <c r="Z116" s="26" t="str">
        <f>IF($B116="","",IF(6&gt;Variables!$C$11,0,COUNTIFS(POS_Time,"&gt;="&amp;($C116+CONVERT(Variables!$C$12,"sec","day")),POS_Time,"&lt;="&amp;($D116-CONVERT(Variables!$C$12+1,"sec","day")),POS_Q,"=6")))</f>
        <v/>
      </c>
    </row>
    <row r="117" spans="1:26" x14ac:dyDescent="0.25">
      <c r="A117" s="2">
        <v>116</v>
      </c>
      <c r="B117" s="27" t="str">
        <f>IF((ROW()-1)&lt;=RoverStations,'Rover CSV Data'!B117,"")</f>
        <v/>
      </c>
      <c r="C117" s="28" t="str">
        <f>IF($B117="","",DATEVALUE(LEFT('Rover CSV Data'!F117,FIND(" ",'Rover CSV Data'!F117)-1))+TIMEVALUE(MID('Rover CSV Data'!F117,LEN('Rover CSV Data'!F117)-FIND(" ",'Rover CSV Data'!F117),(FIND(" UTC",'Rover CSV Data'!F117))-(LEN('Rover CSV Data'!F117)-FIND(" ",'Rover CSV Data'!F117)))))</f>
        <v/>
      </c>
      <c r="D117" s="28" t="str">
        <f>IF($B117="","",DATEVALUE(LEFT('Rover CSV Data'!G117,FIND(" ",'Rover CSV Data'!G117)-1))+TIMEVALUE(MID('Rover CSV Data'!G117,LEN('Rover CSV Data'!G117)-FIND(" ",'Rover CSV Data'!G117),(FIND(" UTC",'Rover CSV Data'!G117))-(LEN('Rover CSV Data'!G117)-FIND(" ",'Rover CSV Data'!G117)))))</f>
        <v/>
      </c>
      <c r="E117" s="29" t="str">
        <f t="shared" si="2"/>
        <v/>
      </c>
      <c r="F117" s="26" t="str">
        <f>IF($B117="","",'Rover CSV Data'!J117)</f>
        <v/>
      </c>
      <c r="G117" s="26" t="str">
        <f>IF($B117="","",AVERAGEIFS(POS_Lat,POS_Time,"&gt;="&amp;($C117+CONVERT(Variables!$C$12,"sec","day")),POS_Time,"&lt;="&amp;($D117-CONVERT(Variables!$C$12+1,"sec","day")),POS_Q,"&lt;="&amp;Variables!$C$11))</f>
        <v/>
      </c>
      <c r="H117" s="26" t="str">
        <f>IF($B117="","",AVERAGEIFS(POS_Long,POS_Time,"&gt;="&amp;($C117+CONVERT(Variables!$C$12,"sec","day")),POS_Time,"&lt;="&amp;($D117-CONVERT(Variables!$C$12+1,"sec","day")),POS_Q,"&lt;="&amp;Variables!$C$11))</f>
        <v/>
      </c>
      <c r="I117" s="30" t="str">
        <f>IF($B117="","",AVERAGEIFS(POS_elev,POS_Time,"&gt;="&amp;($C117+CONVERT(Variables!$C$12,"sec","day")),POS_Time,"&lt;="&amp;($D117-CONVERT(Variables!$C$12+1,"sec","day")),POS_Q,"&lt;="&amp;Variables!$C$11)-S117)</f>
        <v/>
      </c>
      <c r="J117" s="26" t="str">
        <f>IF($B117="","",'Rover CSV Data'!D117)</f>
        <v/>
      </c>
      <c r="K117" s="26" t="str">
        <f>IF($B117="","",'Rover CSV Data'!C117)</f>
        <v/>
      </c>
      <c r="L117" s="26" t="str">
        <f>IF($B117="","",'Rover CSV Data'!E117)</f>
        <v/>
      </c>
      <c r="M117" s="30" t="str">
        <f>IF($B117="","",AVERAGEIFS(sdn,POS_Time,"&gt;="&amp;($C117+CONVERT(Variables!$C$12,"sec","day")),POS_Time,"&lt;="&amp;($D117-CONVERT(Variables!$C$12+1,"sec","day")),POS_Q,"&lt;="&amp;Variables!$C$11))</f>
        <v/>
      </c>
      <c r="N117" s="31" t="str">
        <f>IF($B117="","",AVERAGEIFS(sde,POS_Time,"&gt;="&amp;($C117+CONVERT(Variables!$C$12,"sec","day")),POS_Time,"&lt;="&amp;($D117-CONVERT(Variables!$C$12+1,"sec","day")),POS_Q,"&lt;="&amp;Variables!$C$11))</f>
        <v/>
      </c>
      <c r="O117" s="31" t="str">
        <f>IF($B117="","",AVERAGEIFS(sdu,POS_Time,"&gt;="&amp;($C117+CONVERT(Variables!$C$12,"sec","day")),POS_Time,"&lt;="&amp;($D117-CONVERT(Variables!$C$12+1,"sec","day")),POS_Q,"&lt;="&amp;Variables!$C$11))</f>
        <v/>
      </c>
      <c r="P117" s="32" t="str">
        <f t="array" ref="P117">IF($B117="","",STDEV(IF(POS_Time&gt;=($C117+CONVERT(Variables!$C$12,"sec","day")),IF(POS_Time&lt;=($D117-CONVERT(Variables!$C$12+1,"sec","day")),IF(POS_Q&lt;=Variables!$C$11,POS_Lat)))))</f>
        <v/>
      </c>
      <c r="Q117" s="32" t="str">
        <f t="array" ref="Q117">IF($B117="","",STDEV(IF(POS_Time&gt;=($C117+CONVERT(Variables!$C$12,"sec","day")),IF(POS_Time&lt;=($D117-CONVERT(Variables!$C$12+1,"sec","day")),IF(POS_Q&lt;=Variables!$C$11,POS_Long)))))</f>
        <v/>
      </c>
      <c r="R117" s="32" t="str">
        <f t="array" ref="R117">IF($B117="","",STDEV(IF(POS_Time&gt;=($C117+CONVERT(Variables!$C$12,"sec","day")),IF(POS_Time&lt;=($D117-CONVERT(Variables!$C$12+1,"sec","day")),IF(POS_Q&lt;=Variables!$C$11,POS_elev)))))</f>
        <v/>
      </c>
      <c r="S117" s="30" t="str">
        <f>IF($B117="","",'Rover CSV Data'!K117)</f>
        <v/>
      </c>
      <c r="T117" s="26" t="str">
        <f>IF($B117="","",COUNTIFS(POS_Time,"&gt;="&amp;($C117+CONVERT(Variables!$C$12,"sec","day")),POS_Time,"&lt;="&amp;($D117-CONVERT(Variables!$C$12+1,"sec","day")),POS_Q,"&lt;="&amp;Variables!$C$11))</f>
        <v/>
      </c>
      <c r="U117" s="26" t="str">
        <f>IF($B117="","",IF(1&gt;Variables!$C$11,0,COUNTIFS(POS_Time,"&gt;="&amp;($C117+CONVERT(Variables!$C$12,"sec","day")),POS_Time,"&lt;="&amp;($D117-CONVERT(Variables!$C$12+1,"sec","day")),POS_Q,"=1")))</f>
        <v/>
      </c>
      <c r="V117" s="26" t="str">
        <f>IF($B117="","",IF(2&gt;Variables!$C$11,0,COUNTIFS(POS_Time,"&gt;="&amp;($C117+CONVERT(Variables!$C$12,"sec","day")),POS_Time,"&lt;="&amp;($D117-CONVERT(Variables!$C$12+1,"sec","day")),POS_Q,"=2")))</f>
        <v/>
      </c>
      <c r="W117" s="26" t="str">
        <f>IF($B117="","",IF(3&gt;Variables!$C$11,0,COUNTIFS(POS_Time,"&gt;="&amp;($C117+CONVERT(Variables!$C$12,"sec","day")),POS_Time,"&lt;="&amp;($D117-CONVERT(Variables!$C$12+1,"sec","day")),POS_Q,"=3")))</f>
        <v/>
      </c>
      <c r="X117" s="26" t="str">
        <f>IF($B117="","",IF(4&gt;Variables!$C$11,0,COUNTIFS(POS_Time,"&gt;="&amp;($C117+CONVERT(Variables!$C$12,"sec","day")),POS_Time,"&lt;="&amp;($D117-CONVERT(Variables!$C$12+1,"sec","day")),POS_Q,"=4")))</f>
        <v/>
      </c>
      <c r="Y117" s="26" t="str">
        <f>IF($B117="","",IF(5&gt;Variables!$C$11,0,COUNTIFS(POS_Time,"&gt;="&amp;($C117+CONVERT(Variables!$C$12,"sec","day")),POS_Time,"&lt;="&amp;($D117-CONVERT(Variables!$C$12+1,"sec","day")),POS_Q,"=5")))</f>
        <v/>
      </c>
      <c r="Z117" s="26" t="str">
        <f>IF($B117="","",IF(6&gt;Variables!$C$11,0,COUNTIFS(POS_Time,"&gt;="&amp;($C117+CONVERT(Variables!$C$12,"sec","day")),POS_Time,"&lt;="&amp;($D117-CONVERT(Variables!$C$12+1,"sec","day")),POS_Q,"=6")))</f>
        <v/>
      </c>
    </row>
    <row r="118" spans="1:26" x14ac:dyDescent="0.25">
      <c r="A118" s="2">
        <v>117</v>
      </c>
      <c r="B118" s="27" t="str">
        <f>IF((ROW()-1)&lt;=RoverStations,'Rover CSV Data'!B118,"")</f>
        <v/>
      </c>
      <c r="C118" s="28" t="str">
        <f>IF($B118="","",DATEVALUE(LEFT('Rover CSV Data'!F118,FIND(" ",'Rover CSV Data'!F118)-1))+TIMEVALUE(MID('Rover CSV Data'!F118,LEN('Rover CSV Data'!F118)-FIND(" ",'Rover CSV Data'!F118),(FIND(" UTC",'Rover CSV Data'!F118))-(LEN('Rover CSV Data'!F118)-FIND(" ",'Rover CSV Data'!F118)))))</f>
        <v/>
      </c>
      <c r="D118" s="28" t="str">
        <f>IF($B118="","",DATEVALUE(LEFT('Rover CSV Data'!G118,FIND(" ",'Rover CSV Data'!G118)-1))+TIMEVALUE(MID('Rover CSV Data'!G118,LEN('Rover CSV Data'!G118)-FIND(" ",'Rover CSV Data'!G118),(FIND(" UTC",'Rover CSV Data'!G118))-(LEN('Rover CSV Data'!G118)-FIND(" ",'Rover CSV Data'!G118)))))</f>
        <v/>
      </c>
      <c r="E118" s="29" t="str">
        <f t="shared" si="2"/>
        <v/>
      </c>
      <c r="F118" s="26" t="str">
        <f>IF($B118="","",'Rover CSV Data'!J118)</f>
        <v/>
      </c>
      <c r="G118" s="26" t="str">
        <f>IF($B118="","",AVERAGEIFS(POS_Lat,POS_Time,"&gt;="&amp;($C118+CONVERT(Variables!$C$12,"sec","day")),POS_Time,"&lt;="&amp;($D118-CONVERT(Variables!$C$12+1,"sec","day")),POS_Q,"&lt;="&amp;Variables!$C$11))</f>
        <v/>
      </c>
      <c r="H118" s="26" t="str">
        <f>IF($B118="","",AVERAGEIFS(POS_Long,POS_Time,"&gt;="&amp;($C118+CONVERT(Variables!$C$12,"sec","day")),POS_Time,"&lt;="&amp;($D118-CONVERT(Variables!$C$12+1,"sec","day")),POS_Q,"&lt;="&amp;Variables!$C$11))</f>
        <v/>
      </c>
      <c r="I118" s="30" t="str">
        <f>IF($B118="","",AVERAGEIFS(POS_elev,POS_Time,"&gt;="&amp;($C118+CONVERT(Variables!$C$12,"sec","day")),POS_Time,"&lt;="&amp;($D118-CONVERT(Variables!$C$12+1,"sec","day")),POS_Q,"&lt;="&amp;Variables!$C$11)-S118)</f>
        <v/>
      </c>
      <c r="J118" s="26" t="str">
        <f>IF($B118="","",'Rover CSV Data'!D118)</f>
        <v/>
      </c>
      <c r="K118" s="26" t="str">
        <f>IF($B118="","",'Rover CSV Data'!C118)</f>
        <v/>
      </c>
      <c r="L118" s="26" t="str">
        <f>IF($B118="","",'Rover CSV Data'!E118)</f>
        <v/>
      </c>
      <c r="M118" s="30" t="str">
        <f>IF($B118="","",AVERAGEIFS(sdn,POS_Time,"&gt;="&amp;($C118+CONVERT(Variables!$C$12,"sec","day")),POS_Time,"&lt;="&amp;($D118-CONVERT(Variables!$C$12+1,"sec","day")),POS_Q,"&lt;="&amp;Variables!$C$11))</f>
        <v/>
      </c>
      <c r="N118" s="31" t="str">
        <f>IF($B118="","",AVERAGEIFS(sde,POS_Time,"&gt;="&amp;($C118+CONVERT(Variables!$C$12,"sec","day")),POS_Time,"&lt;="&amp;($D118-CONVERT(Variables!$C$12+1,"sec","day")),POS_Q,"&lt;="&amp;Variables!$C$11))</f>
        <v/>
      </c>
      <c r="O118" s="31" t="str">
        <f>IF($B118="","",AVERAGEIFS(sdu,POS_Time,"&gt;="&amp;($C118+CONVERT(Variables!$C$12,"sec","day")),POS_Time,"&lt;="&amp;($D118-CONVERT(Variables!$C$12+1,"sec","day")),POS_Q,"&lt;="&amp;Variables!$C$11))</f>
        <v/>
      </c>
      <c r="P118" s="32" t="str">
        <f t="array" ref="P118">IF($B118="","",STDEV(IF(POS_Time&gt;=($C118+CONVERT(Variables!$C$12,"sec","day")),IF(POS_Time&lt;=($D118-CONVERT(Variables!$C$12+1,"sec","day")),IF(POS_Q&lt;=Variables!$C$11,POS_Lat)))))</f>
        <v/>
      </c>
      <c r="Q118" s="32" t="str">
        <f t="array" ref="Q118">IF($B118="","",STDEV(IF(POS_Time&gt;=($C118+CONVERT(Variables!$C$12,"sec","day")),IF(POS_Time&lt;=($D118-CONVERT(Variables!$C$12+1,"sec","day")),IF(POS_Q&lt;=Variables!$C$11,POS_Long)))))</f>
        <v/>
      </c>
      <c r="R118" s="32" t="str">
        <f t="array" ref="R118">IF($B118="","",STDEV(IF(POS_Time&gt;=($C118+CONVERT(Variables!$C$12,"sec","day")),IF(POS_Time&lt;=($D118-CONVERT(Variables!$C$12+1,"sec","day")),IF(POS_Q&lt;=Variables!$C$11,POS_elev)))))</f>
        <v/>
      </c>
      <c r="S118" s="30" t="str">
        <f>IF($B118="","",'Rover CSV Data'!K118)</f>
        <v/>
      </c>
      <c r="T118" s="26" t="str">
        <f>IF($B118="","",COUNTIFS(POS_Time,"&gt;="&amp;($C118+CONVERT(Variables!$C$12,"sec","day")),POS_Time,"&lt;="&amp;($D118-CONVERT(Variables!$C$12+1,"sec","day")),POS_Q,"&lt;="&amp;Variables!$C$11))</f>
        <v/>
      </c>
      <c r="U118" s="26" t="str">
        <f>IF($B118="","",IF(1&gt;Variables!$C$11,0,COUNTIFS(POS_Time,"&gt;="&amp;($C118+CONVERT(Variables!$C$12,"sec","day")),POS_Time,"&lt;="&amp;($D118-CONVERT(Variables!$C$12+1,"sec","day")),POS_Q,"=1")))</f>
        <v/>
      </c>
      <c r="V118" s="26" t="str">
        <f>IF($B118="","",IF(2&gt;Variables!$C$11,0,COUNTIFS(POS_Time,"&gt;="&amp;($C118+CONVERT(Variables!$C$12,"sec","day")),POS_Time,"&lt;="&amp;($D118-CONVERT(Variables!$C$12+1,"sec","day")),POS_Q,"=2")))</f>
        <v/>
      </c>
      <c r="W118" s="26" t="str">
        <f>IF($B118="","",IF(3&gt;Variables!$C$11,0,COUNTIFS(POS_Time,"&gt;="&amp;($C118+CONVERT(Variables!$C$12,"sec","day")),POS_Time,"&lt;="&amp;($D118-CONVERT(Variables!$C$12+1,"sec","day")),POS_Q,"=3")))</f>
        <v/>
      </c>
      <c r="X118" s="26" t="str">
        <f>IF($B118="","",IF(4&gt;Variables!$C$11,0,COUNTIFS(POS_Time,"&gt;="&amp;($C118+CONVERT(Variables!$C$12,"sec","day")),POS_Time,"&lt;="&amp;($D118-CONVERT(Variables!$C$12+1,"sec","day")),POS_Q,"=4")))</f>
        <v/>
      </c>
      <c r="Y118" s="26" t="str">
        <f>IF($B118="","",IF(5&gt;Variables!$C$11,0,COUNTIFS(POS_Time,"&gt;="&amp;($C118+CONVERT(Variables!$C$12,"sec","day")),POS_Time,"&lt;="&amp;($D118-CONVERT(Variables!$C$12+1,"sec","day")),POS_Q,"=5")))</f>
        <v/>
      </c>
      <c r="Z118" s="26" t="str">
        <f>IF($B118="","",IF(6&gt;Variables!$C$11,0,COUNTIFS(POS_Time,"&gt;="&amp;($C118+CONVERT(Variables!$C$12,"sec","day")),POS_Time,"&lt;="&amp;($D118-CONVERT(Variables!$C$12+1,"sec","day")),POS_Q,"=6")))</f>
        <v/>
      </c>
    </row>
    <row r="119" spans="1:26" x14ac:dyDescent="0.25">
      <c r="A119" s="2">
        <v>118</v>
      </c>
      <c r="B119" s="27" t="str">
        <f>IF((ROW()-1)&lt;=RoverStations,'Rover CSV Data'!B119,"")</f>
        <v/>
      </c>
      <c r="C119" s="28" t="str">
        <f>IF($B119="","",DATEVALUE(LEFT('Rover CSV Data'!F119,FIND(" ",'Rover CSV Data'!F119)-1))+TIMEVALUE(MID('Rover CSV Data'!F119,LEN('Rover CSV Data'!F119)-FIND(" ",'Rover CSV Data'!F119),(FIND(" UTC",'Rover CSV Data'!F119))-(LEN('Rover CSV Data'!F119)-FIND(" ",'Rover CSV Data'!F119)))))</f>
        <v/>
      </c>
      <c r="D119" s="28" t="str">
        <f>IF($B119="","",DATEVALUE(LEFT('Rover CSV Data'!G119,FIND(" ",'Rover CSV Data'!G119)-1))+TIMEVALUE(MID('Rover CSV Data'!G119,LEN('Rover CSV Data'!G119)-FIND(" ",'Rover CSV Data'!G119),(FIND(" UTC",'Rover CSV Data'!G119))-(LEN('Rover CSV Data'!G119)-FIND(" ",'Rover CSV Data'!G119)))))</f>
        <v/>
      </c>
      <c r="E119" s="29" t="str">
        <f t="shared" si="2"/>
        <v/>
      </c>
      <c r="F119" s="26" t="str">
        <f>IF($B119="","",'Rover CSV Data'!J119)</f>
        <v/>
      </c>
      <c r="G119" s="26" t="str">
        <f>IF($B119="","",AVERAGEIFS(POS_Lat,POS_Time,"&gt;="&amp;($C119+CONVERT(Variables!$C$12,"sec","day")),POS_Time,"&lt;="&amp;($D119-CONVERT(Variables!$C$12+1,"sec","day")),POS_Q,"&lt;="&amp;Variables!$C$11))</f>
        <v/>
      </c>
      <c r="H119" s="26" t="str">
        <f>IF($B119="","",AVERAGEIFS(POS_Long,POS_Time,"&gt;="&amp;($C119+CONVERT(Variables!$C$12,"sec","day")),POS_Time,"&lt;="&amp;($D119-CONVERT(Variables!$C$12+1,"sec","day")),POS_Q,"&lt;="&amp;Variables!$C$11))</f>
        <v/>
      </c>
      <c r="I119" s="30" t="str">
        <f>IF($B119="","",AVERAGEIFS(POS_elev,POS_Time,"&gt;="&amp;($C119+CONVERT(Variables!$C$12,"sec","day")),POS_Time,"&lt;="&amp;($D119-CONVERT(Variables!$C$12+1,"sec","day")),POS_Q,"&lt;="&amp;Variables!$C$11)-S119)</f>
        <v/>
      </c>
      <c r="J119" s="26" t="str">
        <f>IF($B119="","",'Rover CSV Data'!D119)</f>
        <v/>
      </c>
      <c r="K119" s="26" t="str">
        <f>IF($B119="","",'Rover CSV Data'!C119)</f>
        <v/>
      </c>
      <c r="L119" s="26" t="str">
        <f>IF($B119="","",'Rover CSV Data'!E119)</f>
        <v/>
      </c>
      <c r="M119" s="30" t="str">
        <f>IF($B119="","",AVERAGEIFS(sdn,POS_Time,"&gt;="&amp;($C119+CONVERT(Variables!$C$12,"sec","day")),POS_Time,"&lt;="&amp;($D119-CONVERT(Variables!$C$12+1,"sec","day")),POS_Q,"&lt;="&amp;Variables!$C$11))</f>
        <v/>
      </c>
      <c r="N119" s="31" t="str">
        <f>IF($B119="","",AVERAGEIFS(sde,POS_Time,"&gt;="&amp;($C119+CONVERT(Variables!$C$12,"sec","day")),POS_Time,"&lt;="&amp;($D119-CONVERT(Variables!$C$12+1,"sec","day")),POS_Q,"&lt;="&amp;Variables!$C$11))</f>
        <v/>
      </c>
      <c r="O119" s="31" t="str">
        <f>IF($B119="","",AVERAGEIFS(sdu,POS_Time,"&gt;="&amp;($C119+CONVERT(Variables!$C$12,"sec","day")),POS_Time,"&lt;="&amp;($D119-CONVERT(Variables!$C$12+1,"sec","day")),POS_Q,"&lt;="&amp;Variables!$C$11))</f>
        <v/>
      </c>
      <c r="P119" s="32" t="str">
        <f t="array" ref="P119">IF($B119="","",STDEV(IF(POS_Time&gt;=($C119+CONVERT(Variables!$C$12,"sec","day")),IF(POS_Time&lt;=($D119-CONVERT(Variables!$C$12+1,"sec","day")),IF(POS_Q&lt;=Variables!$C$11,POS_Lat)))))</f>
        <v/>
      </c>
      <c r="Q119" s="32" t="str">
        <f t="array" ref="Q119">IF($B119="","",STDEV(IF(POS_Time&gt;=($C119+CONVERT(Variables!$C$12,"sec","day")),IF(POS_Time&lt;=($D119-CONVERT(Variables!$C$12+1,"sec","day")),IF(POS_Q&lt;=Variables!$C$11,POS_Long)))))</f>
        <v/>
      </c>
      <c r="R119" s="32" t="str">
        <f t="array" ref="R119">IF($B119="","",STDEV(IF(POS_Time&gt;=($C119+CONVERT(Variables!$C$12,"sec","day")),IF(POS_Time&lt;=($D119-CONVERT(Variables!$C$12+1,"sec","day")),IF(POS_Q&lt;=Variables!$C$11,POS_elev)))))</f>
        <v/>
      </c>
      <c r="S119" s="30" t="str">
        <f>IF($B119="","",'Rover CSV Data'!K119)</f>
        <v/>
      </c>
      <c r="T119" s="26" t="str">
        <f>IF($B119="","",COUNTIFS(POS_Time,"&gt;="&amp;($C119+CONVERT(Variables!$C$12,"sec","day")),POS_Time,"&lt;="&amp;($D119-CONVERT(Variables!$C$12+1,"sec","day")),POS_Q,"&lt;="&amp;Variables!$C$11))</f>
        <v/>
      </c>
      <c r="U119" s="26" t="str">
        <f>IF($B119="","",IF(1&gt;Variables!$C$11,0,COUNTIFS(POS_Time,"&gt;="&amp;($C119+CONVERT(Variables!$C$12,"sec","day")),POS_Time,"&lt;="&amp;($D119-CONVERT(Variables!$C$12+1,"sec","day")),POS_Q,"=1")))</f>
        <v/>
      </c>
      <c r="V119" s="26" t="str">
        <f>IF($B119="","",IF(2&gt;Variables!$C$11,0,COUNTIFS(POS_Time,"&gt;="&amp;($C119+CONVERT(Variables!$C$12,"sec","day")),POS_Time,"&lt;="&amp;($D119-CONVERT(Variables!$C$12+1,"sec","day")),POS_Q,"=2")))</f>
        <v/>
      </c>
      <c r="W119" s="26" t="str">
        <f>IF($B119="","",IF(3&gt;Variables!$C$11,0,COUNTIFS(POS_Time,"&gt;="&amp;($C119+CONVERT(Variables!$C$12,"sec","day")),POS_Time,"&lt;="&amp;($D119-CONVERT(Variables!$C$12+1,"sec","day")),POS_Q,"=3")))</f>
        <v/>
      </c>
      <c r="X119" s="26" t="str">
        <f>IF($B119="","",IF(4&gt;Variables!$C$11,0,COUNTIFS(POS_Time,"&gt;="&amp;($C119+CONVERT(Variables!$C$12,"sec","day")),POS_Time,"&lt;="&amp;($D119-CONVERT(Variables!$C$12+1,"sec","day")),POS_Q,"=4")))</f>
        <v/>
      </c>
      <c r="Y119" s="26" t="str">
        <f>IF($B119="","",IF(5&gt;Variables!$C$11,0,COUNTIFS(POS_Time,"&gt;="&amp;($C119+CONVERT(Variables!$C$12,"sec","day")),POS_Time,"&lt;="&amp;($D119-CONVERT(Variables!$C$12+1,"sec","day")),POS_Q,"=5")))</f>
        <v/>
      </c>
      <c r="Z119" s="26" t="str">
        <f>IF($B119="","",IF(6&gt;Variables!$C$11,0,COUNTIFS(POS_Time,"&gt;="&amp;($C119+CONVERT(Variables!$C$12,"sec","day")),POS_Time,"&lt;="&amp;($D119-CONVERT(Variables!$C$12+1,"sec","day")),POS_Q,"=6")))</f>
        <v/>
      </c>
    </row>
    <row r="120" spans="1:26" x14ac:dyDescent="0.25">
      <c r="A120" s="2">
        <v>119</v>
      </c>
      <c r="B120" s="27" t="str">
        <f>IF((ROW()-1)&lt;=RoverStations,'Rover CSV Data'!B120,"")</f>
        <v/>
      </c>
      <c r="C120" s="28" t="str">
        <f>IF($B120="","",DATEVALUE(LEFT('Rover CSV Data'!F120,FIND(" ",'Rover CSV Data'!F120)-1))+TIMEVALUE(MID('Rover CSV Data'!F120,LEN('Rover CSV Data'!F120)-FIND(" ",'Rover CSV Data'!F120),(FIND(" UTC",'Rover CSV Data'!F120))-(LEN('Rover CSV Data'!F120)-FIND(" ",'Rover CSV Data'!F120)))))</f>
        <v/>
      </c>
      <c r="D120" s="28" t="str">
        <f>IF($B120="","",DATEVALUE(LEFT('Rover CSV Data'!G120,FIND(" ",'Rover CSV Data'!G120)-1))+TIMEVALUE(MID('Rover CSV Data'!G120,LEN('Rover CSV Data'!G120)-FIND(" ",'Rover CSV Data'!G120),(FIND(" UTC",'Rover CSV Data'!G120))-(LEN('Rover CSV Data'!G120)-FIND(" ",'Rover CSV Data'!G120)))))</f>
        <v/>
      </c>
      <c r="E120" s="29" t="str">
        <f t="shared" si="2"/>
        <v/>
      </c>
      <c r="F120" s="26" t="str">
        <f>IF($B120="","",'Rover CSV Data'!J120)</f>
        <v/>
      </c>
      <c r="G120" s="26" t="str">
        <f>IF($B120="","",AVERAGEIFS(POS_Lat,POS_Time,"&gt;="&amp;($C120+CONVERT(Variables!$C$12,"sec","day")),POS_Time,"&lt;="&amp;($D120-CONVERT(Variables!$C$12+1,"sec","day")),POS_Q,"&lt;="&amp;Variables!$C$11))</f>
        <v/>
      </c>
      <c r="H120" s="26" t="str">
        <f>IF($B120="","",AVERAGEIFS(POS_Long,POS_Time,"&gt;="&amp;($C120+CONVERT(Variables!$C$12,"sec","day")),POS_Time,"&lt;="&amp;($D120-CONVERT(Variables!$C$12+1,"sec","day")),POS_Q,"&lt;="&amp;Variables!$C$11))</f>
        <v/>
      </c>
      <c r="I120" s="30" t="str">
        <f>IF($B120="","",AVERAGEIFS(POS_elev,POS_Time,"&gt;="&amp;($C120+CONVERT(Variables!$C$12,"sec","day")),POS_Time,"&lt;="&amp;($D120-CONVERT(Variables!$C$12+1,"sec","day")),POS_Q,"&lt;="&amp;Variables!$C$11)-S120)</f>
        <v/>
      </c>
      <c r="J120" s="26" t="str">
        <f>IF($B120="","",'Rover CSV Data'!D120)</f>
        <v/>
      </c>
      <c r="K120" s="26" t="str">
        <f>IF($B120="","",'Rover CSV Data'!C120)</f>
        <v/>
      </c>
      <c r="L120" s="26" t="str">
        <f>IF($B120="","",'Rover CSV Data'!E120)</f>
        <v/>
      </c>
      <c r="M120" s="30" t="str">
        <f>IF($B120="","",AVERAGEIFS(sdn,POS_Time,"&gt;="&amp;($C120+CONVERT(Variables!$C$12,"sec","day")),POS_Time,"&lt;="&amp;($D120-CONVERT(Variables!$C$12+1,"sec","day")),POS_Q,"&lt;="&amp;Variables!$C$11))</f>
        <v/>
      </c>
      <c r="N120" s="31" t="str">
        <f>IF($B120="","",AVERAGEIFS(sde,POS_Time,"&gt;="&amp;($C120+CONVERT(Variables!$C$12,"sec","day")),POS_Time,"&lt;="&amp;($D120-CONVERT(Variables!$C$12+1,"sec","day")),POS_Q,"&lt;="&amp;Variables!$C$11))</f>
        <v/>
      </c>
      <c r="O120" s="31" t="str">
        <f>IF($B120="","",AVERAGEIFS(sdu,POS_Time,"&gt;="&amp;($C120+CONVERT(Variables!$C$12,"sec","day")),POS_Time,"&lt;="&amp;($D120-CONVERT(Variables!$C$12+1,"sec","day")),POS_Q,"&lt;="&amp;Variables!$C$11))</f>
        <v/>
      </c>
      <c r="P120" s="32" t="str">
        <f t="array" ref="P120">IF($B120="","",STDEV(IF(POS_Time&gt;=($C120+CONVERT(Variables!$C$12,"sec","day")),IF(POS_Time&lt;=($D120-CONVERT(Variables!$C$12+1,"sec","day")),IF(POS_Q&lt;=Variables!$C$11,POS_Lat)))))</f>
        <v/>
      </c>
      <c r="Q120" s="32" t="str">
        <f t="array" ref="Q120">IF($B120="","",STDEV(IF(POS_Time&gt;=($C120+CONVERT(Variables!$C$12,"sec","day")),IF(POS_Time&lt;=($D120-CONVERT(Variables!$C$12+1,"sec","day")),IF(POS_Q&lt;=Variables!$C$11,POS_Long)))))</f>
        <v/>
      </c>
      <c r="R120" s="32" t="str">
        <f t="array" ref="R120">IF($B120="","",STDEV(IF(POS_Time&gt;=($C120+CONVERT(Variables!$C$12,"sec","day")),IF(POS_Time&lt;=($D120-CONVERT(Variables!$C$12+1,"sec","day")),IF(POS_Q&lt;=Variables!$C$11,POS_elev)))))</f>
        <v/>
      </c>
      <c r="S120" s="30" t="str">
        <f>IF($B120="","",'Rover CSV Data'!K120)</f>
        <v/>
      </c>
      <c r="T120" s="26" t="str">
        <f>IF($B120="","",COUNTIFS(POS_Time,"&gt;="&amp;($C120+CONVERT(Variables!$C$12,"sec","day")),POS_Time,"&lt;="&amp;($D120-CONVERT(Variables!$C$12+1,"sec","day")),POS_Q,"&lt;="&amp;Variables!$C$11))</f>
        <v/>
      </c>
      <c r="U120" s="26" t="str">
        <f>IF($B120="","",IF(1&gt;Variables!$C$11,0,COUNTIFS(POS_Time,"&gt;="&amp;($C120+CONVERT(Variables!$C$12,"sec","day")),POS_Time,"&lt;="&amp;($D120-CONVERT(Variables!$C$12+1,"sec","day")),POS_Q,"=1")))</f>
        <v/>
      </c>
      <c r="V120" s="26" t="str">
        <f>IF($B120="","",IF(2&gt;Variables!$C$11,0,COUNTIFS(POS_Time,"&gt;="&amp;($C120+CONVERT(Variables!$C$12,"sec","day")),POS_Time,"&lt;="&amp;($D120-CONVERT(Variables!$C$12+1,"sec","day")),POS_Q,"=2")))</f>
        <v/>
      </c>
      <c r="W120" s="26" t="str">
        <f>IF($B120="","",IF(3&gt;Variables!$C$11,0,COUNTIFS(POS_Time,"&gt;="&amp;($C120+CONVERT(Variables!$C$12,"sec","day")),POS_Time,"&lt;="&amp;($D120-CONVERT(Variables!$C$12+1,"sec","day")),POS_Q,"=3")))</f>
        <v/>
      </c>
      <c r="X120" s="26" t="str">
        <f>IF($B120="","",IF(4&gt;Variables!$C$11,0,COUNTIFS(POS_Time,"&gt;="&amp;($C120+CONVERT(Variables!$C$12,"sec","day")),POS_Time,"&lt;="&amp;($D120-CONVERT(Variables!$C$12+1,"sec","day")),POS_Q,"=4")))</f>
        <v/>
      </c>
      <c r="Y120" s="26" t="str">
        <f>IF($B120="","",IF(5&gt;Variables!$C$11,0,COUNTIFS(POS_Time,"&gt;="&amp;($C120+CONVERT(Variables!$C$12,"sec","day")),POS_Time,"&lt;="&amp;($D120-CONVERT(Variables!$C$12+1,"sec","day")),POS_Q,"=5")))</f>
        <v/>
      </c>
      <c r="Z120" s="26" t="str">
        <f>IF($B120="","",IF(6&gt;Variables!$C$11,0,COUNTIFS(POS_Time,"&gt;="&amp;($C120+CONVERT(Variables!$C$12,"sec","day")),POS_Time,"&lt;="&amp;($D120-CONVERT(Variables!$C$12+1,"sec","day")),POS_Q,"=6")))</f>
        <v/>
      </c>
    </row>
    <row r="121" spans="1:26" x14ac:dyDescent="0.25">
      <c r="A121" s="2">
        <v>120</v>
      </c>
      <c r="B121" s="27" t="str">
        <f>IF((ROW()-1)&lt;=RoverStations,'Rover CSV Data'!B121,"")</f>
        <v/>
      </c>
      <c r="C121" s="28" t="str">
        <f>IF($B121="","",DATEVALUE(LEFT('Rover CSV Data'!F121,FIND(" ",'Rover CSV Data'!F121)-1))+TIMEVALUE(MID('Rover CSV Data'!F121,LEN('Rover CSV Data'!F121)-FIND(" ",'Rover CSV Data'!F121),(FIND(" UTC",'Rover CSV Data'!F121))-(LEN('Rover CSV Data'!F121)-FIND(" ",'Rover CSV Data'!F121)))))</f>
        <v/>
      </c>
      <c r="D121" s="28" t="str">
        <f>IF($B121="","",DATEVALUE(LEFT('Rover CSV Data'!G121,FIND(" ",'Rover CSV Data'!G121)-1))+TIMEVALUE(MID('Rover CSV Data'!G121,LEN('Rover CSV Data'!G121)-FIND(" ",'Rover CSV Data'!G121),(FIND(" UTC",'Rover CSV Data'!G121))-(LEN('Rover CSV Data'!G121)-FIND(" ",'Rover CSV Data'!G121)))))</f>
        <v/>
      </c>
      <c r="E121" s="29" t="str">
        <f t="shared" si="2"/>
        <v/>
      </c>
      <c r="F121" s="26" t="str">
        <f>IF($B121="","",'Rover CSV Data'!J121)</f>
        <v/>
      </c>
      <c r="G121" s="26" t="str">
        <f>IF($B121="","",AVERAGEIFS(POS_Lat,POS_Time,"&gt;="&amp;($C121+CONVERT(Variables!$C$12,"sec","day")),POS_Time,"&lt;="&amp;($D121-CONVERT(Variables!$C$12+1,"sec","day")),POS_Q,"&lt;="&amp;Variables!$C$11))</f>
        <v/>
      </c>
      <c r="H121" s="26" t="str">
        <f>IF($B121="","",AVERAGEIFS(POS_Long,POS_Time,"&gt;="&amp;($C121+CONVERT(Variables!$C$12,"sec","day")),POS_Time,"&lt;="&amp;($D121-CONVERT(Variables!$C$12+1,"sec","day")),POS_Q,"&lt;="&amp;Variables!$C$11))</f>
        <v/>
      </c>
      <c r="I121" s="30" t="str">
        <f>IF($B121="","",AVERAGEIFS(POS_elev,POS_Time,"&gt;="&amp;($C121+CONVERT(Variables!$C$12,"sec","day")),POS_Time,"&lt;="&amp;($D121-CONVERT(Variables!$C$12+1,"sec","day")),POS_Q,"&lt;="&amp;Variables!$C$11)-S121)</f>
        <v/>
      </c>
      <c r="J121" s="26" t="str">
        <f>IF($B121="","",'Rover CSV Data'!D121)</f>
        <v/>
      </c>
      <c r="K121" s="26" t="str">
        <f>IF($B121="","",'Rover CSV Data'!C121)</f>
        <v/>
      </c>
      <c r="L121" s="26" t="str">
        <f>IF($B121="","",'Rover CSV Data'!E121)</f>
        <v/>
      </c>
      <c r="M121" s="30" t="str">
        <f>IF($B121="","",AVERAGEIFS(sdn,POS_Time,"&gt;="&amp;($C121+CONVERT(Variables!$C$12,"sec","day")),POS_Time,"&lt;="&amp;($D121-CONVERT(Variables!$C$12+1,"sec","day")),POS_Q,"&lt;="&amp;Variables!$C$11))</f>
        <v/>
      </c>
      <c r="N121" s="31" t="str">
        <f>IF($B121="","",AVERAGEIFS(sde,POS_Time,"&gt;="&amp;($C121+CONVERT(Variables!$C$12,"sec","day")),POS_Time,"&lt;="&amp;($D121-CONVERT(Variables!$C$12+1,"sec","day")),POS_Q,"&lt;="&amp;Variables!$C$11))</f>
        <v/>
      </c>
      <c r="O121" s="31" t="str">
        <f>IF($B121="","",AVERAGEIFS(sdu,POS_Time,"&gt;="&amp;($C121+CONVERT(Variables!$C$12,"sec","day")),POS_Time,"&lt;="&amp;($D121-CONVERT(Variables!$C$12+1,"sec","day")),POS_Q,"&lt;="&amp;Variables!$C$11))</f>
        <v/>
      </c>
      <c r="P121" s="32" t="str">
        <f t="array" ref="P121">IF($B121="","",STDEV(IF(POS_Time&gt;=($C121+CONVERT(Variables!$C$12,"sec","day")),IF(POS_Time&lt;=($D121-CONVERT(Variables!$C$12+1,"sec","day")),IF(POS_Q&lt;=Variables!$C$11,POS_Lat)))))</f>
        <v/>
      </c>
      <c r="Q121" s="32" t="str">
        <f t="array" ref="Q121">IF($B121="","",STDEV(IF(POS_Time&gt;=($C121+CONVERT(Variables!$C$12,"sec","day")),IF(POS_Time&lt;=($D121-CONVERT(Variables!$C$12+1,"sec","day")),IF(POS_Q&lt;=Variables!$C$11,POS_Long)))))</f>
        <v/>
      </c>
      <c r="R121" s="32" t="str">
        <f t="array" ref="R121">IF($B121="","",STDEV(IF(POS_Time&gt;=($C121+CONVERT(Variables!$C$12,"sec","day")),IF(POS_Time&lt;=($D121-CONVERT(Variables!$C$12+1,"sec","day")),IF(POS_Q&lt;=Variables!$C$11,POS_elev)))))</f>
        <v/>
      </c>
      <c r="S121" s="30" t="str">
        <f>IF($B121="","",'Rover CSV Data'!K121)</f>
        <v/>
      </c>
      <c r="T121" s="26" t="str">
        <f>IF($B121="","",COUNTIFS(POS_Time,"&gt;="&amp;($C121+CONVERT(Variables!$C$12,"sec","day")),POS_Time,"&lt;="&amp;($D121-CONVERT(Variables!$C$12+1,"sec","day")),POS_Q,"&lt;="&amp;Variables!$C$11))</f>
        <v/>
      </c>
      <c r="U121" s="26" t="str">
        <f>IF($B121="","",IF(1&gt;Variables!$C$11,0,COUNTIFS(POS_Time,"&gt;="&amp;($C121+CONVERT(Variables!$C$12,"sec","day")),POS_Time,"&lt;="&amp;($D121-CONVERT(Variables!$C$12+1,"sec","day")),POS_Q,"=1")))</f>
        <v/>
      </c>
      <c r="V121" s="26" t="str">
        <f>IF($B121="","",IF(2&gt;Variables!$C$11,0,COUNTIFS(POS_Time,"&gt;="&amp;($C121+CONVERT(Variables!$C$12,"sec","day")),POS_Time,"&lt;="&amp;($D121-CONVERT(Variables!$C$12+1,"sec","day")),POS_Q,"=2")))</f>
        <v/>
      </c>
      <c r="W121" s="26" t="str">
        <f>IF($B121="","",IF(3&gt;Variables!$C$11,0,COUNTIFS(POS_Time,"&gt;="&amp;($C121+CONVERT(Variables!$C$12,"sec","day")),POS_Time,"&lt;="&amp;($D121-CONVERT(Variables!$C$12+1,"sec","day")),POS_Q,"=3")))</f>
        <v/>
      </c>
      <c r="X121" s="26" t="str">
        <f>IF($B121="","",IF(4&gt;Variables!$C$11,0,COUNTIFS(POS_Time,"&gt;="&amp;($C121+CONVERT(Variables!$C$12,"sec","day")),POS_Time,"&lt;="&amp;($D121-CONVERT(Variables!$C$12+1,"sec","day")),POS_Q,"=4")))</f>
        <v/>
      </c>
      <c r="Y121" s="26" t="str">
        <f>IF($B121="","",IF(5&gt;Variables!$C$11,0,COUNTIFS(POS_Time,"&gt;="&amp;($C121+CONVERT(Variables!$C$12,"sec","day")),POS_Time,"&lt;="&amp;($D121-CONVERT(Variables!$C$12+1,"sec","day")),POS_Q,"=5")))</f>
        <v/>
      </c>
      <c r="Z121" s="26" t="str">
        <f>IF($B121="","",IF(6&gt;Variables!$C$11,0,COUNTIFS(POS_Time,"&gt;="&amp;($C121+CONVERT(Variables!$C$12,"sec","day")),POS_Time,"&lt;="&amp;($D121-CONVERT(Variables!$C$12+1,"sec","day")),POS_Q,"=6")))</f>
        <v/>
      </c>
    </row>
    <row r="122" spans="1:26" x14ac:dyDescent="0.25">
      <c r="A122" s="2">
        <v>121</v>
      </c>
      <c r="B122" s="27" t="str">
        <f>IF((ROW()-1)&lt;=RoverStations,'Rover CSV Data'!B122,"")</f>
        <v/>
      </c>
      <c r="C122" s="28" t="str">
        <f>IF($B122="","",DATEVALUE(LEFT('Rover CSV Data'!F122,FIND(" ",'Rover CSV Data'!F122)-1))+TIMEVALUE(MID('Rover CSV Data'!F122,LEN('Rover CSV Data'!F122)-FIND(" ",'Rover CSV Data'!F122),(FIND(" UTC",'Rover CSV Data'!F122))-(LEN('Rover CSV Data'!F122)-FIND(" ",'Rover CSV Data'!F122)))))</f>
        <v/>
      </c>
      <c r="D122" s="28" t="str">
        <f>IF($B122="","",DATEVALUE(LEFT('Rover CSV Data'!G122,FIND(" ",'Rover CSV Data'!G122)-1))+TIMEVALUE(MID('Rover CSV Data'!G122,LEN('Rover CSV Data'!G122)-FIND(" ",'Rover CSV Data'!G122),(FIND(" UTC",'Rover CSV Data'!G122))-(LEN('Rover CSV Data'!G122)-FIND(" ",'Rover CSV Data'!G122)))))</f>
        <v/>
      </c>
      <c r="E122" s="29" t="str">
        <f t="shared" si="2"/>
        <v/>
      </c>
      <c r="F122" s="26" t="str">
        <f>IF($B122="","",'Rover CSV Data'!J122)</f>
        <v/>
      </c>
      <c r="G122" s="26" t="str">
        <f>IF($B122="","",AVERAGEIFS(POS_Lat,POS_Time,"&gt;="&amp;($C122+CONVERT(Variables!$C$12,"sec","day")),POS_Time,"&lt;="&amp;($D122-CONVERT(Variables!$C$12+1,"sec","day")),POS_Q,"&lt;="&amp;Variables!$C$11))</f>
        <v/>
      </c>
      <c r="H122" s="26" t="str">
        <f>IF($B122="","",AVERAGEIFS(POS_Long,POS_Time,"&gt;="&amp;($C122+CONVERT(Variables!$C$12,"sec","day")),POS_Time,"&lt;="&amp;($D122-CONVERT(Variables!$C$12+1,"sec","day")),POS_Q,"&lt;="&amp;Variables!$C$11))</f>
        <v/>
      </c>
      <c r="I122" s="30" t="str">
        <f>IF($B122="","",AVERAGEIFS(POS_elev,POS_Time,"&gt;="&amp;($C122+CONVERT(Variables!$C$12,"sec","day")),POS_Time,"&lt;="&amp;($D122-CONVERT(Variables!$C$12+1,"sec","day")),POS_Q,"&lt;="&amp;Variables!$C$11)-S122)</f>
        <v/>
      </c>
      <c r="J122" s="26" t="str">
        <f>IF($B122="","",'Rover CSV Data'!D122)</f>
        <v/>
      </c>
      <c r="K122" s="26" t="str">
        <f>IF($B122="","",'Rover CSV Data'!C122)</f>
        <v/>
      </c>
      <c r="L122" s="26" t="str">
        <f>IF($B122="","",'Rover CSV Data'!E122)</f>
        <v/>
      </c>
      <c r="M122" s="30" t="str">
        <f>IF($B122="","",AVERAGEIFS(sdn,POS_Time,"&gt;="&amp;($C122+CONVERT(Variables!$C$12,"sec","day")),POS_Time,"&lt;="&amp;($D122-CONVERT(Variables!$C$12+1,"sec","day")),POS_Q,"&lt;="&amp;Variables!$C$11))</f>
        <v/>
      </c>
      <c r="N122" s="31" t="str">
        <f>IF($B122="","",AVERAGEIFS(sde,POS_Time,"&gt;="&amp;($C122+CONVERT(Variables!$C$12,"sec","day")),POS_Time,"&lt;="&amp;($D122-CONVERT(Variables!$C$12+1,"sec","day")),POS_Q,"&lt;="&amp;Variables!$C$11))</f>
        <v/>
      </c>
      <c r="O122" s="31" t="str">
        <f>IF($B122="","",AVERAGEIFS(sdu,POS_Time,"&gt;="&amp;($C122+CONVERT(Variables!$C$12,"sec","day")),POS_Time,"&lt;="&amp;($D122-CONVERT(Variables!$C$12+1,"sec","day")),POS_Q,"&lt;="&amp;Variables!$C$11))</f>
        <v/>
      </c>
      <c r="P122" s="32" t="str">
        <f t="array" ref="P122">IF($B122="","",STDEV(IF(POS_Time&gt;=($C122+CONVERT(Variables!$C$12,"sec","day")),IF(POS_Time&lt;=($D122-CONVERT(Variables!$C$12+1,"sec","day")),IF(POS_Q&lt;=Variables!$C$11,POS_Lat)))))</f>
        <v/>
      </c>
      <c r="Q122" s="32" t="str">
        <f t="array" ref="Q122">IF($B122="","",STDEV(IF(POS_Time&gt;=($C122+CONVERT(Variables!$C$12,"sec","day")),IF(POS_Time&lt;=($D122-CONVERT(Variables!$C$12+1,"sec","day")),IF(POS_Q&lt;=Variables!$C$11,POS_Long)))))</f>
        <v/>
      </c>
      <c r="R122" s="32" t="str">
        <f t="array" ref="R122">IF($B122="","",STDEV(IF(POS_Time&gt;=($C122+CONVERT(Variables!$C$12,"sec","day")),IF(POS_Time&lt;=($D122-CONVERT(Variables!$C$12+1,"sec","day")),IF(POS_Q&lt;=Variables!$C$11,POS_elev)))))</f>
        <v/>
      </c>
      <c r="S122" s="30" t="str">
        <f>IF($B122="","",'Rover CSV Data'!K122)</f>
        <v/>
      </c>
      <c r="T122" s="26" t="str">
        <f>IF($B122="","",COUNTIFS(POS_Time,"&gt;="&amp;($C122+CONVERT(Variables!$C$12,"sec","day")),POS_Time,"&lt;="&amp;($D122-CONVERT(Variables!$C$12+1,"sec","day")),POS_Q,"&lt;="&amp;Variables!$C$11))</f>
        <v/>
      </c>
      <c r="U122" s="26" t="str">
        <f>IF($B122="","",IF(1&gt;Variables!$C$11,0,COUNTIFS(POS_Time,"&gt;="&amp;($C122+CONVERT(Variables!$C$12,"sec","day")),POS_Time,"&lt;="&amp;($D122-CONVERT(Variables!$C$12+1,"sec","day")),POS_Q,"=1")))</f>
        <v/>
      </c>
      <c r="V122" s="26" t="str">
        <f>IF($B122="","",IF(2&gt;Variables!$C$11,0,COUNTIFS(POS_Time,"&gt;="&amp;($C122+CONVERT(Variables!$C$12,"sec","day")),POS_Time,"&lt;="&amp;($D122-CONVERT(Variables!$C$12+1,"sec","day")),POS_Q,"=2")))</f>
        <v/>
      </c>
      <c r="W122" s="26" t="str">
        <f>IF($B122="","",IF(3&gt;Variables!$C$11,0,COUNTIFS(POS_Time,"&gt;="&amp;($C122+CONVERT(Variables!$C$12,"sec","day")),POS_Time,"&lt;="&amp;($D122-CONVERT(Variables!$C$12+1,"sec","day")),POS_Q,"=3")))</f>
        <v/>
      </c>
      <c r="X122" s="26" t="str">
        <f>IF($B122="","",IF(4&gt;Variables!$C$11,0,COUNTIFS(POS_Time,"&gt;="&amp;($C122+CONVERT(Variables!$C$12,"sec","day")),POS_Time,"&lt;="&amp;($D122-CONVERT(Variables!$C$12+1,"sec","day")),POS_Q,"=4")))</f>
        <v/>
      </c>
      <c r="Y122" s="26" t="str">
        <f>IF($B122="","",IF(5&gt;Variables!$C$11,0,COUNTIFS(POS_Time,"&gt;="&amp;($C122+CONVERT(Variables!$C$12,"sec","day")),POS_Time,"&lt;="&amp;($D122-CONVERT(Variables!$C$12+1,"sec","day")),POS_Q,"=5")))</f>
        <v/>
      </c>
      <c r="Z122" s="26" t="str">
        <f>IF($B122="","",IF(6&gt;Variables!$C$11,0,COUNTIFS(POS_Time,"&gt;="&amp;($C122+CONVERT(Variables!$C$12,"sec","day")),POS_Time,"&lt;="&amp;($D122-CONVERT(Variables!$C$12+1,"sec","day")),POS_Q,"=6")))</f>
        <v/>
      </c>
    </row>
    <row r="123" spans="1:26" x14ac:dyDescent="0.25">
      <c r="A123" s="2">
        <v>122</v>
      </c>
      <c r="B123" s="27" t="str">
        <f>IF((ROW()-1)&lt;=RoverStations,'Rover CSV Data'!B123,"")</f>
        <v/>
      </c>
      <c r="C123" s="28" t="str">
        <f>IF($B123="","",DATEVALUE(LEFT('Rover CSV Data'!F123,FIND(" ",'Rover CSV Data'!F123)-1))+TIMEVALUE(MID('Rover CSV Data'!F123,LEN('Rover CSV Data'!F123)-FIND(" ",'Rover CSV Data'!F123),(FIND(" UTC",'Rover CSV Data'!F123))-(LEN('Rover CSV Data'!F123)-FIND(" ",'Rover CSV Data'!F123)))))</f>
        <v/>
      </c>
      <c r="D123" s="28" t="str">
        <f>IF($B123="","",DATEVALUE(LEFT('Rover CSV Data'!G123,FIND(" ",'Rover CSV Data'!G123)-1))+TIMEVALUE(MID('Rover CSV Data'!G123,LEN('Rover CSV Data'!G123)-FIND(" ",'Rover CSV Data'!G123),(FIND(" UTC",'Rover CSV Data'!G123))-(LEN('Rover CSV Data'!G123)-FIND(" ",'Rover CSV Data'!G123)))))</f>
        <v/>
      </c>
      <c r="E123" s="29" t="str">
        <f t="shared" si="2"/>
        <v/>
      </c>
      <c r="F123" s="26" t="str">
        <f>IF($B123="","",'Rover CSV Data'!J123)</f>
        <v/>
      </c>
      <c r="G123" s="26" t="str">
        <f>IF($B123="","",AVERAGEIFS(POS_Lat,POS_Time,"&gt;="&amp;($C123+CONVERT(Variables!$C$12,"sec","day")),POS_Time,"&lt;="&amp;($D123-CONVERT(Variables!$C$12+1,"sec","day")),POS_Q,"&lt;="&amp;Variables!$C$11))</f>
        <v/>
      </c>
      <c r="H123" s="26" t="str">
        <f>IF($B123="","",AVERAGEIFS(POS_Long,POS_Time,"&gt;="&amp;($C123+CONVERT(Variables!$C$12,"sec","day")),POS_Time,"&lt;="&amp;($D123-CONVERT(Variables!$C$12+1,"sec","day")),POS_Q,"&lt;="&amp;Variables!$C$11))</f>
        <v/>
      </c>
      <c r="I123" s="30" t="str">
        <f>IF($B123="","",AVERAGEIFS(POS_elev,POS_Time,"&gt;="&amp;($C123+CONVERT(Variables!$C$12,"sec","day")),POS_Time,"&lt;="&amp;($D123-CONVERT(Variables!$C$12+1,"sec","day")),POS_Q,"&lt;="&amp;Variables!$C$11)-S123)</f>
        <v/>
      </c>
      <c r="J123" s="26" t="str">
        <f>IF($B123="","",'Rover CSV Data'!D123)</f>
        <v/>
      </c>
      <c r="K123" s="26" t="str">
        <f>IF($B123="","",'Rover CSV Data'!C123)</f>
        <v/>
      </c>
      <c r="L123" s="26" t="str">
        <f>IF($B123="","",'Rover CSV Data'!E123)</f>
        <v/>
      </c>
      <c r="M123" s="30" t="str">
        <f>IF($B123="","",AVERAGEIFS(sdn,POS_Time,"&gt;="&amp;($C123+CONVERT(Variables!$C$12,"sec","day")),POS_Time,"&lt;="&amp;($D123-CONVERT(Variables!$C$12+1,"sec","day")),POS_Q,"&lt;="&amp;Variables!$C$11))</f>
        <v/>
      </c>
      <c r="N123" s="31" t="str">
        <f>IF($B123="","",AVERAGEIFS(sde,POS_Time,"&gt;="&amp;($C123+CONVERT(Variables!$C$12,"sec","day")),POS_Time,"&lt;="&amp;($D123-CONVERT(Variables!$C$12+1,"sec","day")),POS_Q,"&lt;="&amp;Variables!$C$11))</f>
        <v/>
      </c>
      <c r="O123" s="31" t="str">
        <f>IF($B123="","",AVERAGEIFS(sdu,POS_Time,"&gt;="&amp;($C123+CONVERT(Variables!$C$12,"sec","day")),POS_Time,"&lt;="&amp;($D123-CONVERT(Variables!$C$12+1,"sec","day")),POS_Q,"&lt;="&amp;Variables!$C$11))</f>
        <v/>
      </c>
      <c r="P123" s="32" t="str">
        <f t="array" ref="P123">IF($B123="","",STDEV(IF(POS_Time&gt;=($C123+CONVERT(Variables!$C$12,"sec","day")),IF(POS_Time&lt;=($D123-CONVERT(Variables!$C$12+1,"sec","day")),IF(POS_Q&lt;=Variables!$C$11,POS_Lat)))))</f>
        <v/>
      </c>
      <c r="Q123" s="32" t="str">
        <f t="array" ref="Q123">IF($B123="","",STDEV(IF(POS_Time&gt;=($C123+CONVERT(Variables!$C$12,"sec","day")),IF(POS_Time&lt;=($D123-CONVERT(Variables!$C$12+1,"sec","day")),IF(POS_Q&lt;=Variables!$C$11,POS_Long)))))</f>
        <v/>
      </c>
      <c r="R123" s="32" t="str">
        <f t="array" ref="R123">IF($B123="","",STDEV(IF(POS_Time&gt;=($C123+CONVERT(Variables!$C$12,"sec","day")),IF(POS_Time&lt;=($D123-CONVERT(Variables!$C$12+1,"sec","day")),IF(POS_Q&lt;=Variables!$C$11,POS_elev)))))</f>
        <v/>
      </c>
      <c r="S123" s="30" t="str">
        <f>IF($B123="","",'Rover CSV Data'!K123)</f>
        <v/>
      </c>
      <c r="T123" s="26" t="str">
        <f>IF($B123="","",COUNTIFS(POS_Time,"&gt;="&amp;($C123+CONVERT(Variables!$C$12,"sec","day")),POS_Time,"&lt;="&amp;($D123-CONVERT(Variables!$C$12+1,"sec","day")),POS_Q,"&lt;="&amp;Variables!$C$11))</f>
        <v/>
      </c>
      <c r="U123" s="26" t="str">
        <f>IF($B123="","",IF(1&gt;Variables!$C$11,0,COUNTIFS(POS_Time,"&gt;="&amp;($C123+CONVERT(Variables!$C$12,"sec","day")),POS_Time,"&lt;="&amp;($D123-CONVERT(Variables!$C$12+1,"sec","day")),POS_Q,"=1")))</f>
        <v/>
      </c>
      <c r="V123" s="26" t="str">
        <f>IF($B123="","",IF(2&gt;Variables!$C$11,0,COUNTIFS(POS_Time,"&gt;="&amp;($C123+CONVERT(Variables!$C$12,"sec","day")),POS_Time,"&lt;="&amp;($D123-CONVERT(Variables!$C$12+1,"sec","day")),POS_Q,"=2")))</f>
        <v/>
      </c>
      <c r="W123" s="26" t="str">
        <f>IF($B123="","",IF(3&gt;Variables!$C$11,0,COUNTIFS(POS_Time,"&gt;="&amp;($C123+CONVERT(Variables!$C$12,"sec","day")),POS_Time,"&lt;="&amp;($D123-CONVERT(Variables!$C$12+1,"sec","day")),POS_Q,"=3")))</f>
        <v/>
      </c>
      <c r="X123" s="26" t="str">
        <f>IF($B123="","",IF(4&gt;Variables!$C$11,0,COUNTIFS(POS_Time,"&gt;="&amp;($C123+CONVERT(Variables!$C$12,"sec","day")),POS_Time,"&lt;="&amp;($D123-CONVERT(Variables!$C$12+1,"sec","day")),POS_Q,"=4")))</f>
        <v/>
      </c>
      <c r="Y123" s="26" t="str">
        <f>IF($B123="","",IF(5&gt;Variables!$C$11,0,COUNTIFS(POS_Time,"&gt;="&amp;($C123+CONVERT(Variables!$C$12,"sec","day")),POS_Time,"&lt;="&amp;($D123-CONVERT(Variables!$C$12+1,"sec","day")),POS_Q,"=5")))</f>
        <v/>
      </c>
      <c r="Z123" s="26" t="str">
        <f>IF($B123="","",IF(6&gt;Variables!$C$11,0,COUNTIFS(POS_Time,"&gt;="&amp;($C123+CONVERT(Variables!$C$12,"sec","day")),POS_Time,"&lt;="&amp;($D123-CONVERT(Variables!$C$12+1,"sec","day")),POS_Q,"=6")))</f>
        <v/>
      </c>
    </row>
    <row r="124" spans="1:26" x14ac:dyDescent="0.25">
      <c r="A124" s="2">
        <v>123</v>
      </c>
      <c r="B124" s="27" t="str">
        <f>IF((ROW()-1)&lt;=RoverStations,'Rover CSV Data'!B124,"")</f>
        <v/>
      </c>
      <c r="C124" s="28" t="str">
        <f>IF($B124="","",DATEVALUE(LEFT('Rover CSV Data'!F124,FIND(" ",'Rover CSV Data'!F124)-1))+TIMEVALUE(MID('Rover CSV Data'!F124,LEN('Rover CSV Data'!F124)-FIND(" ",'Rover CSV Data'!F124),(FIND(" UTC",'Rover CSV Data'!F124))-(LEN('Rover CSV Data'!F124)-FIND(" ",'Rover CSV Data'!F124)))))</f>
        <v/>
      </c>
      <c r="D124" s="28" t="str">
        <f>IF($B124="","",DATEVALUE(LEFT('Rover CSV Data'!G124,FIND(" ",'Rover CSV Data'!G124)-1))+TIMEVALUE(MID('Rover CSV Data'!G124,LEN('Rover CSV Data'!G124)-FIND(" ",'Rover CSV Data'!G124),(FIND(" UTC",'Rover CSV Data'!G124))-(LEN('Rover CSV Data'!G124)-FIND(" ",'Rover CSV Data'!G124)))))</f>
        <v/>
      </c>
      <c r="E124" s="29" t="str">
        <f t="shared" si="2"/>
        <v/>
      </c>
      <c r="F124" s="26" t="str">
        <f>IF($B124="","",'Rover CSV Data'!J124)</f>
        <v/>
      </c>
      <c r="G124" s="26" t="str">
        <f>IF($B124="","",AVERAGEIFS(POS_Lat,POS_Time,"&gt;="&amp;($C124+CONVERT(Variables!$C$12,"sec","day")),POS_Time,"&lt;="&amp;($D124-CONVERT(Variables!$C$12+1,"sec","day")),POS_Q,"&lt;="&amp;Variables!$C$11))</f>
        <v/>
      </c>
      <c r="H124" s="26" t="str">
        <f>IF($B124="","",AVERAGEIFS(POS_Long,POS_Time,"&gt;="&amp;($C124+CONVERT(Variables!$C$12,"sec","day")),POS_Time,"&lt;="&amp;($D124-CONVERT(Variables!$C$12+1,"sec","day")),POS_Q,"&lt;="&amp;Variables!$C$11))</f>
        <v/>
      </c>
      <c r="I124" s="30" t="str">
        <f>IF($B124="","",AVERAGEIFS(POS_elev,POS_Time,"&gt;="&amp;($C124+CONVERT(Variables!$C$12,"sec","day")),POS_Time,"&lt;="&amp;($D124-CONVERT(Variables!$C$12+1,"sec","day")),POS_Q,"&lt;="&amp;Variables!$C$11)-S124)</f>
        <v/>
      </c>
      <c r="J124" s="26" t="str">
        <f>IF($B124="","",'Rover CSV Data'!D124)</f>
        <v/>
      </c>
      <c r="K124" s="26" t="str">
        <f>IF($B124="","",'Rover CSV Data'!C124)</f>
        <v/>
      </c>
      <c r="L124" s="26" t="str">
        <f>IF($B124="","",'Rover CSV Data'!E124)</f>
        <v/>
      </c>
      <c r="M124" s="30" t="str">
        <f>IF($B124="","",AVERAGEIFS(sdn,POS_Time,"&gt;="&amp;($C124+CONVERT(Variables!$C$12,"sec","day")),POS_Time,"&lt;="&amp;($D124-CONVERT(Variables!$C$12+1,"sec","day")),POS_Q,"&lt;="&amp;Variables!$C$11))</f>
        <v/>
      </c>
      <c r="N124" s="31" t="str">
        <f>IF($B124="","",AVERAGEIFS(sde,POS_Time,"&gt;="&amp;($C124+CONVERT(Variables!$C$12,"sec","day")),POS_Time,"&lt;="&amp;($D124-CONVERT(Variables!$C$12+1,"sec","day")),POS_Q,"&lt;="&amp;Variables!$C$11))</f>
        <v/>
      </c>
      <c r="O124" s="31" t="str">
        <f>IF($B124="","",AVERAGEIFS(sdu,POS_Time,"&gt;="&amp;($C124+CONVERT(Variables!$C$12,"sec","day")),POS_Time,"&lt;="&amp;($D124-CONVERT(Variables!$C$12+1,"sec","day")),POS_Q,"&lt;="&amp;Variables!$C$11))</f>
        <v/>
      </c>
      <c r="P124" s="32" t="str">
        <f t="array" ref="P124">IF($B124="","",STDEV(IF(POS_Time&gt;=($C124+CONVERT(Variables!$C$12,"sec","day")),IF(POS_Time&lt;=($D124-CONVERT(Variables!$C$12+1,"sec","day")),IF(POS_Q&lt;=Variables!$C$11,POS_Lat)))))</f>
        <v/>
      </c>
      <c r="Q124" s="32" t="str">
        <f t="array" ref="Q124">IF($B124="","",STDEV(IF(POS_Time&gt;=($C124+CONVERT(Variables!$C$12,"sec","day")),IF(POS_Time&lt;=($D124-CONVERT(Variables!$C$12+1,"sec","day")),IF(POS_Q&lt;=Variables!$C$11,POS_Long)))))</f>
        <v/>
      </c>
      <c r="R124" s="32" t="str">
        <f t="array" ref="R124">IF($B124="","",STDEV(IF(POS_Time&gt;=($C124+CONVERT(Variables!$C$12,"sec","day")),IF(POS_Time&lt;=($D124-CONVERT(Variables!$C$12+1,"sec","day")),IF(POS_Q&lt;=Variables!$C$11,POS_elev)))))</f>
        <v/>
      </c>
      <c r="S124" s="30" t="str">
        <f>IF($B124="","",'Rover CSV Data'!K124)</f>
        <v/>
      </c>
      <c r="T124" s="26" t="str">
        <f>IF($B124="","",COUNTIFS(POS_Time,"&gt;="&amp;($C124+CONVERT(Variables!$C$12,"sec","day")),POS_Time,"&lt;="&amp;($D124-CONVERT(Variables!$C$12+1,"sec","day")),POS_Q,"&lt;="&amp;Variables!$C$11))</f>
        <v/>
      </c>
      <c r="U124" s="26" t="str">
        <f>IF($B124="","",IF(1&gt;Variables!$C$11,0,COUNTIFS(POS_Time,"&gt;="&amp;($C124+CONVERT(Variables!$C$12,"sec","day")),POS_Time,"&lt;="&amp;($D124-CONVERT(Variables!$C$12+1,"sec","day")),POS_Q,"=1")))</f>
        <v/>
      </c>
      <c r="V124" s="26" t="str">
        <f>IF($B124="","",IF(2&gt;Variables!$C$11,0,COUNTIFS(POS_Time,"&gt;="&amp;($C124+CONVERT(Variables!$C$12,"sec","day")),POS_Time,"&lt;="&amp;($D124-CONVERT(Variables!$C$12+1,"sec","day")),POS_Q,"=2")))</f>
        <v/>
      </c>
      <c r="W124" s="26" t="str">
        <f>IF($B124="","",IF(3&gt;Variables!$C$11,0,COUNTIFS(POS_Time,"&gt;="&amp;($C124+CONVERT(Variables!$C$12,"sec","day")),POS_Time,"&lt;="&amp;($D124-CONVERT(Variables!$C$12+1,"sec","day")),POS_Q,"=3")))</f>
        <v/>
      </c>
      <c r="X124" s="26" t="str">
        <f>IF($B124="","",IF(4&gt;Variables!$C$11,0,COUNTIFS(POS_Time,"&gt;="&amp;($C124+CONVERT(Variables!$C$12,"sec","day")),POS_Time,"&lt;="&amp;($D124-CONVERT(Variables!$C$12+1,"sec","day")),POS_Q,"=4")))</f>
        <v/>
      </c>
      <c r="Y124" s="26" t="str">
        <f>IF($B124="","",IF(5&gt;Variables!$C$11,0,COUNTIFS(POS_Time,"&gt;="&amp;($C124+CONVERT(Variables!$C$12,"sec","day")),POS_Time,"&lt;="&amp;($D124-CONVERT(Variables!$C$12+1,"sec","day")),POS_Q,"=5")))</f>
        <v/>
      </c>
      <c r="Z124" s="26" t="str">
        <f>IF($B124="","",IF(6&gt;Variables!$C$11,0,COUNTIFS(POS_Time,"&gt;="&amp;($C124+CONVERT(Variables!$C$12,"sec","day")),POS_Time,"&lt;="&amp;($D124-CONVERT(Variables!$C$12+1,"sec","day")),POS_Q,"=6")))</f>
        <v/>
      </c>
    </row>
    <row r="125" spans="1:26" x14ac:dyDescent="0.25">
      <c r="A125" s="2">
        <v>124</v>
      </c>
      <c r="B125" s="27" t="str">
        <f>IF((ROW()-1)&lt;=RoverStations,'Rover CSV Data'!B125,"")</f>
        <v/>
      </c>
      <c r="C125" s="28" t="str">
        <f>IF($B125="","",DATEVALUE(LEFT('Rover CSV Data'!F125,FIND(" ",'Rover CSV Data'!F125)-1))+TIMEVALUE(MID('Rover CSV Data'!F125,LEN('Rover CSV Data'!F125)-FIND(" ",'Rover CSV Data'!F125),(FIND(" UTC",'Rover CSV Data'!F125))-(LEN('Rover CSV Data'!F125)-FIND(" ",'Rover CSV Data'!F125)))))</f>
        <v/>
      </c>
      <c r="D125" s="28" t="str">
        <f>IF($B125="","",DATEVALUE(LEFT('Rover CSV Data'!G125,FIND(" ",'Rover CSV Data'!G125)-1))+TIMEVALUE(MID('Rover CSV Data'!G125,LEN('Rover CSV Data'!G125)-FIND(" ",'Rover CSV Data'!G125),(FIND(" UTC",'Rover CSV Data'!G125))-(LEN('Rover CSV Data'!G125)-FIND(" ",'Rover CSV Data'!G125)))))</f>
        <v/>
      </c>
      <c r="E125" s="29" t="str">
        <f t="shared" si="2"/>
        <v/>
      </c>
      <c r="F125" s="26" t="str">
        <f>IF($B125="","",'Rover CSV Data'!J125)</f>
        <v/>
      </c>
      <c r="G125" s="26" t="str">
        <f>IF($B125="","",AVERAGEIFS(POS_Lat,POS_Time,"&gt;="&amp;($C125+CONVERT(Variables!$C$12,"sec","day")),POS_Time,"&lt;="&amp;($D125-CONVERT(Variables!$C$12+1,"sec","day")),POS_Q,"&lt;="&amp;Variables!$C$11))</f>
        <v/>
      </c>
      <c r="H125" s="26" t="str">
        <f>IF($B125="","",AVERAGEIFS(POS_Long,POS_Time,"&gt;="&amp;($C125+CONVERT(Variables!$C$12,"sec","day")),POS_Time,"&lt;="&amp;($D125-CONVERT(Variables!$C$12+1,"sec","day")),POS_Q,"&lt;="&amp;Variables!$C$11))</f>
        <v/>
      </c>
      <c r="I125" s="30" t="str">
        <f>IF($B125="","",AVERAGEIFS(POS_elev,POS_Time,"&gt;="&amp;($C125+CONVERT(Variables!$C$12,"sec","day")),POS_Time,"&lt;="&amp;($D125-CONVERT(Variables!$C$12+1,"sec","day")),POS_Q,"&lt;="&amp;Variables!$C$11)-S125)</f>
        <v/>
      </c>
      <c r="J125" s="26" t="str">
        <f>IF($B125="","",'Rover CSV Data'!D125)</f>
        <v/>
      </c>
      <c r="K125" s="26" t="str">
        <f>IF($B125="","",'Rover CSV Data'!C125)</f>
        <v/>
      </c>
      <c r="L125" s="26" t="str">
        <f>IF($B125="","",'Rover CSV Data'!E125)</f>
        <v/>
      </c>
      <c r="M125" s="30" t="str">
        <f>IF($B125="","",AVERAGEIFS(sdn,POS_Time,"&gt;="&amp;($C125+CONVERT(Variables!$C$12,"sec","day")),POS_Time,"&lt;="&amp;($D125-CONVERT(Variables!$C$12+1,"sec","day")),POS_Q,"&lt;="&amp;Variables!$C$11))</f>
        <v/>
      </c>
      <c r="N125" s="31" t="str">
        <f>IF($B125="","",AVERAGEIFS(sde,POS_Time,"&gt;="&amp;($C125+CONVERT(Variables!$C$12,"sec","day")),POS_Time,"&lt;="&amp;($D125-CONVERT(Variables!$C$12+1,"sec","day")),POS_Q,"&lt;="&amp;Variables!$C$11))</f>
        <v/>
      </c>
      <c r="O125" s="31" t="str">
        <f>IF($B125="","",AVERAGEIFS(sdu,POS_Time,"&gt;="&amp;($C125+CONVERT(Variables!$C$12,"sec","day")),POS_Time,"&lt;="&amp;($D125-CONVERT(Variables!$C$12+1,"sec","day")),POS_Q,"&lt;="&amp;Variables!$C$11))</f>
        <v/>
      </c>
      <c r="P125" s="32" t="str">
        <f t="array" ref="P125">IF($B125="","",STDEV(IF(POS_Time&gt;=($C125+CONVERT(Variables!$C$12,"sec","day")),IF(POS_Time&lt;=($D125-CONVERT(Variables!$C$12+1,"sec","day")),IF(POS_Q&lt;=Variables!$C$11,POS_Lat)))))</f>
        <v/>
      </c>
      <c r="Q125" s="32" t="str">
        <f t="array" ref="Q125">IF($B125="","",STDEV(IF(POS_Time&gt;=($C125+CONVERT(Variables!$C$12,"sec","day")),IF(POS_Time&lt;=($D125-CONVERT(Variables!$C$12+1,"sec","day")),IF(POS_Q&lt;=Variables!$C$11,POS_Long)))))</f>
        <v/>
      </c>
      <c r="R125" s="32" t="str">
        <f t="array" ref="R125">IF($B125="","",STDEV(IF(POS_Time&gt;=($C125+CONVERT(Variables!$C$12,"sec","day")),IF(POS_Time&lt;=($D125-CONVERT(Variables!$C$12+1,"sec","day")),IF(POS_Q&lt;=Variables!$C$11,POS_elev)))))</f>
        <v/>
      </c>
      <c r="S125" s="30" t="str">
        <f>IF($B125="","",'Rover CSV Data'!K125)</f>
        <v/>
      </c>
      <c r="T125" s="26" t="str">
        <f>IF($B125="","",COUNTIFS(POS_Time,"&gt;="&amp;($C125+CONVERT(Variables!$C$12,"sec","day")),POS_Time,"&lt;="&amp;($D125-CONVERT(Variables!$C$12+1,"sec","day")),POS_Q,"&lt;="&amp;Variables!$C$11))</f>
        <v/>
      </c>
      <c r="U125" s="26" t="str">
        <f>IF($B125="","",IF(1&gt;Variables!$C$11,0,COUNTIFS(POS_Time,"&gt;="&amp;($C125+CONVERT(Variables!$C$12,"sec","day")),POS_Time,"&lt;="&amp;($D125-CONVERT(Variables!$C$12+1,"sec","day")),POS_Q,"=1")))</f>
        <v/>
      </c>
      <c r="V125" s="26" t="str">
        <f>IF($B125="","",IF(2&gt;Variables!$C$11,0,COUNTIFS(POS_Time,"&gt;="&amp;($C125+CONVERT(Variables!$C$12,"sec","day")),POS_Time,"&lt;="&amp;($D125-CONVERT(Variables!$C$12+1,"sec","day")),POS_Q,"=2")))</f>
        <v/>
      </c>
      <c r="W125" s="26" t="str">
        <f>IF($B125="","",IF(3&gt;Variables!$C$11,0,COUNTIFS(POS_Time,"&gt;="&amp;($C125+CONVERT(Variables!$C$12,"sec","day")),POS_Time,"&lt;="&amp;($D125-CONVERT(Variables!$C$12+1,"sec","day")),POS_Q,"=3")))</f>
        <v/>
      </c>
      <c r="X125" s="26" t="str">
        <f>IF($B125="","",IF(4&gt;Variables!$C$11,0,COUNTIFS(POS_Time,"&gt;="&amp;($C125+CONVERT(Variables!$C$12,"sec","day")),POS_Time,"&lt;="&amp;($D125-CONVERT(Variables!$C$12+1,"sec","day")),POS_Q,"=4")))</f>
        <v/>
      </c>
      <c r="Y125" s="26" t="str">
        <f>IF($B125="","",IF(5&gt;Variables!$C$11,0,COUNTIFS(POS_Time,"&gt;="&amp;($C125+CONVERT(Variables!$C$12,"sec","day")),POS_Time,"&lt;="&amp;($D125-CONVERT(Variables!$C$12+1,"sec","day")),POS_Q,"=5")))</f>
        <v/>
      </c>
      <c r="Z125" s="26" t="str">
        <f>IF($B125="","",IF(6&gt;Variables!$C$11,0,COUNTIFS(POS_Time,"&gt;="&amp;($C125+CONVERT(Variables!$C$12,"sec","day")),POS_Time,"&lt;="&amp;($D125-CONVERT(Variables!$C$12+1,"sec","day")),POS_Q,"=6")))</f>
        <v/>
      </c>
    </row>
    <row r="126" spans="1:26" x14ac:dyDescent="0.25">
      <c r="A126" s="2">
        <v>125</v>
      </c>
      <c r="B126" s="27" t="str">
        <f>IF((ROW()-1)&lt;=RoverStations,'Rover CSV Data'!B126,"")</f>
        <v/>
      </c>
      <c r="C126" s="28" t="str">
        <f>IF($B126="","",DATEVALUE(LEFT('Rover CSV Data'!F126,FIND(" ",'Rover CSV Data'!F126)-1))+TIMEVALUE(MID('Rover CSV Data'!F126,LEN('Rover CSV Data'!F126)-FIND(" ",'Rover CSV Data'!F126),(FIND(" UTC",'Rover CSV Data'!F126))-(LEN('Rover CSV Data'!F126)-FIND(" ",'Rover CSV Data'!F126)))))</f>
        <v/>
      </c>
      <c r="D126" s="28" t="str">
        <f>IF($B126="","",DATEVALUE(LEFT('Rover CSV Data'!G126,FIND(" ",'Rover CSV Data'!G126)-1))+TIMEVALUE(MID('Rover CSV Data'!G126,LEN('Rover CSV Data'!G126)-FIND(" ",'Rover CSV Data'!G126),(FIND(" UTC",'Rover CSV Data'!G126))-(LEN('Rover CSV Data'!G126)-FIND(" ",'Rover CSV Data'!G126)))))</f>
        <v/>
      </c>
      <c r="E126" s="29" t="str">
        <f t="shared" si="2"/>
        <v/>
      </c>
      <c r="F126" s="26" t="str">
        <f>IF($B126="","",'Rover CSV Data'!J126)</f>
        <v/>
      </c>
      <c r="G126" s="26" t="str">
        <f>IF($B126="","",AVERAGEIFS(POS_Lat,POS_Time,"&gt;="&amp;($C126+CONVERT(Variables!$C$12,"sec","day")),POS_Time,"&lt;="&amp;($D126-CONVERT(Variables!$C$12+1,"sec","day")),POS_Q,"&lt;="&amp;Variables!$C$11))</f>
        <v/>
      </c>
      <c r="H126" s="26" t="str">
        <f>IF($B126="","",AVERAGEIFS(POS_Long,POS_Time,"&gt;="&amp;($C126+CONVERT(Variables!$C$12,"sec","day")),POS_Time,"&lt;="&amp;($D126-CONVERT(Variables!$C$12+1,"sec","day")),POS_Q,"&lt;="&amp;Variables!$C$11))</f>
        <v/>
      </c>
      <c r="I126" s="30" t="str">
        <f>IF($B126="","",AVERAGEIFS(POS_elev,POS_Time,"&gt;="&amp;($C126+CONVERT(Variables!$C$12,"sec","day")),POS_Time,"&lt;="&amp;($D126-CONVERT(Variables!$C$12+1,"sec","day")),POS_Q,"&lt;="&amp;Variables!$C$11)-S126)</f>
        <v/>
      </c>
      <c r="J126" s="26" t="str">
        <f>IF($B126="","",'Rover CSV Data'!D126)</f>
        <v/>
      </c>
      <c r="K126" s="26" t="str">
        <f>IF($B126="","",'Rover CSV Data'!C126)</f>
        <v/>
      </c>
      <c r="L126" s="26" t="str">
        <f>IF($B126="","",'Rover CSV Data'!E126)</f>
        <v/>
      </c>
      <c r="M126" s="30" t="str">
        <f>IF($B126="","",AVERAGEIFS(sdn,POS_Time,"&gt;="&amp;($C126+CONVERT(Variables!$C$12,"sec","day")),POS_Time,"&lt;="&amp;($D126-CONVERT(Variables!$C$12+1,"sec","day")),POS_Q,"&lt;="&amp;Variables!$C$11))</f>
        <v/>
      </c>
      <c r="N126" s="31" t="str">
        <f>IF($B126="","",AVERAGEIFS(sde,POS_Time,"&gt;="&amp;($C126+CONVERT(Variables!$C$12,"sec","day")),POS_Time,"&lt;="&amp;($D126-CONVERT(Variables!$C$12+1,"sec","day")),POS_Q,"&lt;="&amp;Variables!$C$11))</f>
        <v/>
      </c>
      <c r="O126" s="31" t="str">
        <f>IF($B126="","",AVERAGEIFS(sdu,POS_Time,"&gt;="&amp;($C126+CONVERT(Variables!$C$12,"sec","day")),POS_Time,"&lt;="&amp;($D126-CONVERT(Variables!$C$12+1,"sec","day")),POS_Q,"&lt;="&amp;Variables!$C$11))</f>
        <v/>
      </c>
      <c r="P126" s="32" t="str">
        <f t="array" ref="P126">IF($B126="","",STDEV(IF(POS_Time&gt;=($C126+CONVERT(Variables!$C$12,"sec","day")),IF(POS_Time&lt;=($D126-CONVERT(Variables!$C$12+1,"sec","day")),IF(POS_Q&lt;=Variables!$C$11,POS_Lat)))))</f>
        <v/>
      </c>
      <c r="Q126" s="32" t="str">
        <f t="array" ref="Q126">IF($B126="","",STDEV(IF(POS_Time&gt;=($C126+CONVERT(Variables!$C$12,"sec","day")),IF(POS_Time&lt;=($D126-CONVERT(Variables!$C$12+1,"sec","day")),IF(POS_Q&lt;=Variables!$C$11,POS_Long)))))</f>
        <v/>
      </c>
      <c r="R126" s="32" t="str">
        <f t="array" ref="R126">IF($B126="","",STDEV(IF(POS_Time&gt;=($C126+CONVERT(Variables!$C$12,"sec","day")),IF(POS_Time&lt;=($D126-CONVERT(Variables!$C$12+1,"sec","day")),IF(POS_Q&lt;=Variables!$C$11,POS_elev)))))</f>
        <v/>
      </c>
      <c r="S126" s="30" t="str">
        <f>IF($B126="","",'Rover CSV Data'!K126)</f>
        <v/>
      </c>
      <c r="T126" s="26" t="str">
        <f>IF($B126="","",COUNTIFS(POS_Time,"&gt;="&amp;($C126+CONVERT(Variables!$C$12,"sec","day")),POS_Time,"&lt;="&amp;($D126-CONVERT(Variables!$C$12+1,"sec","day")),POS_Q,"&lt;="&amp;Variables!$C$11))</f>
        <v/>
      </c>
      <c r="U126" s="26" t="str">
        <f>IF($B126="","",IF(1&gt;Variables!$C$11,0,COUNTIFS(POS_Time,"&gt;="&amp;($C126+CONVERT(Variables!$C$12,"sec","day")),POS_Time,"&lt;="&amp;($D126-CONVERT(Variables!$C$12+1,"sec","day")),POS_Q,"=1")))</f>
        <v/>
      </c>
      <c r="V126" s="26" t="str">
        <f>IF($B126="","",IF(2&gt;Variables!$C$11,0,COUNTIFS(POS_Time,"&gt;="&amp;($C126+CONVERT(Variables!$C$12,"sec","day")),POS_Time,"&lt;="&amp;($D126-CONVERT(Variables!$C$12+1,"sec","day")),POS_Q,"=2")))</f>
        <v/>
      </c>
      <c r="W126" s="26" t="str">
        <f>IF($B126="","",IF(3&gt;Variables!$C$11,0,COUNTIFS(POS_Time,"&gt;="&amp;($C126+CONVERT(Variables!$C$12,"sec","day")),POS_Time,"&lt;="&amp;($D126-CONVERT(Variables!$C$12+1,"sec","day")),POS_Q,"=3")))</f>
        <v/>
      </c>
      <c r="X126" s="26" t="str">
        <f>IF($B126="","",IF(4&gt;Variables!$C$11,0,COUNTIFS(POS_Time,"&gt;="&amp;($C126+CONVERT(Variables!$C$12,"sec","day")),POS_Time,"&lt;="&amp;($D126-CONVERT(Variables!$C$12+1,"sec","day")),POS_Q,"=4")))</f>
        <v/>
      </c>
      <c r="Y126" s="26" t="str">
        <f>IF($B126="","",IF(5&gt;Variables!$C$11,0,COUNTIFS(POS_Time,"&gt;="&amp;($C126+CONVERT(Variables!$C$12,"sec","day")),POS_Time,"&lt;="&amp;($D126-CONVERT(Variables!$C$12+1,"sec","day")),POS_Q,"=5")))</f>
        <v/>
      </c>
      <c r="Z126" s="26" t="str">
        <f>IF($B126="","",IF(6&gt;Variables!$C$11,0,COUNTIFS(POS_Time,"&gt;="&amp;($C126+CONVERT(Variables!$C$12,"sec","day")),POS_Time,"&lt;="&amp;($D126-CONVERT(Variables!$C$12+1,"sec","day")),POS_Q,"=6")))</f>
        <v/>
      </c>
    </row>
    <row r="127" spans="1:26" x14ac:dyDescent="0.25">
      <c r="A127" s="2">
        <v>126</v>
      </c>
      <c r="B127" s="27" t="str">
        <f>IF((ROW()-1)&lt;=RoverStations,'Rover CSV Data'!B127,"")</f>
        <v/>
      </c>
      <c r="C127" s="28" t="str">
        <f>IF($B127="","",DATEVALUE(LEFT('Rover CSV Data'!F127,FIND(" ",'Rover CSV Data'!F127)-1))+TIMEVALUE(MID('Rover CSV Data'!F127,LEN('Rover CSV Data'!F127)-FIND(" ",'Rover CSV Data'!F127),(FIND(" UTC",'Rover CSV Data'!F127))-(LEN('Rover CSV Data'!F127)-FIND(" ",'Rover CSV Data'!F127)))))</f>
        <v/>
      </c>
      <c r="D127" s="28" t="str">
        <f>IF($B127="","",DATEVALUE(LEFT('Rover CSV Data'!G127,FIND(" ",'Rover CSV Data'!G127)-1))+TIMEVALUE(MID('Rover CSV Data'!G127,LEN('Rover CSV Data'!G127)-FIND(" ",'Rover CSV Data'!G127),(FIND(" UTC",'Rover CSV Data'!G127))-(LEN('Rover CSV Data'!G127)-FIND(" ",'Rover CSV Data'!G127)))))</f>
        <v/>
      </c>
      <c r="E127" s="29" t="str">
        <f t="shared" si="2"/>
        <v/>
      </c>
      <c r="F127" s="26" t="str">
        <f>IF($B127="","",'Rover CSV Data'!J127)</f>
        <v/>
      </c>
      <c r="G127" s="26" t="str">
        <f>IF($B127="","",AVERAGEIFS(POS_Lat,POS_Time,"&gt;="&amp;($C127+CONVERT(Variables!$C$12,"sec","day")),POS_Time,"&lt;="&amp;($D127-CONVERT(Variables!$C$12+1,"sec","day")),POS_Q,"&lt;="&amp;Variables!$C$11))</f>
        <v/>
      </c>
      <c r="H127" s="26" t="str">
        <f>IF($B127="","",AVERAGEIFS(POS_Long,POS_Time,"&gt;="&amp;($C127+CONVERT(Variables!$C$12,"sec","day")),POS_Time,"&lt;="&amp;($D127-CONVERT(Variables!$C$12+1,"sec","day")),POS_Q,"&lt;="&amp;Variables!$C$11))</f>
        <v/>
      </c>
      <c r="I127" s="30" t="str">
        <f>IF($B127="","",AVERAGEIFS(POS_elev,POS_Time,"&gt;="&amp;($C127+CONVERT(Variables!$C$12,"sec","day")),POS_Time,"&lt;="&amp;($D127-CONVERT(Variables!$C$12+1,"sec","day")),POS_Q,"&lt;="&amp;Variables!$C$11)-S127)</f>
        <v/>
      </c>
      <c r="J127" s="26" t="str">
        <f>IF($B127="","",'Rover CSV Data'!D127)</f>
        <v/>
      </c>
      <c r="K127" s="26" t="str">
        <f>IF($B127="","",'Rover CSV Data'!C127)</f>
        <v/>
      </c>
      <c r="L127" s="26" t="str">
        <f>IF($B127="","",'Rover CSV Data'!E127)</f>
        <v/>
      </c>
      <c r="M127" s="30" t="str">
        <f>IF($B127="","",AVERAGEIFS(sdn,POS_Time,"&gt;="&amp;($C127+CONVERT(Variables!$C$12,"sec","day")),POS_Time,"&lt;="&amp;($D127-CONVERT(Variables!$C$12+1,"sec","day")),POS_Q,"&lt;="&amp;Variables!$C$11))</f>
        <v/>
      </c>
      <c r="N127" s="31" t="str">
        <f>IF($B127="","",AVERAGEIFS(sde,POS_Time,"&gt;="&amp;($C127+CONVERT(Variables!$C$12,"sec","day")),POS_Time,"&lt;="&amp;($D127-CONVERT(Variables!$C$12+1,"sec","day")),POS_Q,"&lt;="&amp;Variables!$C$11))</f>
        <v/>
      </c>
      <c r="O127" s="31" t="str">
        <f>IF($B127="","",AVERAGEIFS(sdu,POS_Time,"&gt;="&amp;($C127+CONVERT(Variables!$C$12,"sec","day")),POS_Time,"&lt;="&amp;($D127-CONVERT(Variables!$C$12+1,"sec","day")),POS_Q,"&lt;="&amp;Variables!$C$11))</f>
        <v/>
      </c>
      <c r="P127" s="32" t="str">
        <f t="array" ref="P127">IF($B127="","",STDEV(IF(POS_Time&gt;=($C127+CONVERT(Variables!$C$12,"sec","day")),IF(POS_Time&lt;=($D127-CONVERT(Variables!$C$12+1,"sec","day")),IF(POS_Q&lt;=Variables!$C$11,POS_Lat)))))</f>
        <v/>
      </c>
      <c r="Q127" s="32" t="str">
        <f t="array" ref="Q127">IF($B127="","",STDEV(IF(POS_Time&gt;=($C127+CONVERT(Variables!$C$12,"sec","day")),IF(POS_Time&lt;=($D127-CONVERT(Variables!$C$12+1,"sec","day")),IF(POS_Q&lt;=Variables!$C$11,POS_Long)))))</f>
        <v/>
      </c>
      <c r="R127" s="32" t="str">
        <f t="array" ref="R127">IF($B127="","",STDEV(IF(POS_Time&gt;=($C127+CONVERT(Variables!$C$12,"sec","day")),IF(POS_Time&lt;=($D127-CONVERT(Variables!$C$12+1,"sec","day")),IF(POS_Q&lt;=Variables!$C$11,POS_elev)))))</f>
        <v/>
      </c>
      <c r="S127" s="30" t="str">
        <f>IF($B127="","",'Rover CSV Data'!K127)</f>
        <v/>
      </c>
      <c r="T127" s="26" t="str">
        <f>IF($B127="","",COUNTIFS(POS_Time,"&gt;="&amp;($C127+CONVERT(Variables!$C$12,"sec","day")),POS_Time,"&lt;="&amp;($D127-CONVERT(Variables!$C$12+1,"sec","day")),POS_Q,"&lt;="&amp;Variables!$C$11))</f>
        <v/>
      </c>
      <c r="U127" s="26" t="str">
        <f>IF($B127="","",IF(1&gt;Variables!$C$11,0,COUNTIFS(POS_Time,"&gt;="&amp;($C127+CONVERT(Variables!$C$12,"sec","day")),POS_Time,"&lt;="&amp;($D127-CONVERT(Variables!$C$12+1,"sec","day")),POS_Q,"=1")))</f>
        <v/>
      </c>
      <c r="V127" s="26" t="str">
        <f>IF($B127="","",IF(2&gt;Variables!$C$11,0,COUNTIFS(POS_Time,"&gt;="&amp;($C127+CONVERT(Variables!$C$12,"sec","day")),POS_Time,"&lt;="&amp;($D127-CONVERT(Variables!$C$12+1,"sec","day")),POS_Q,"=2")))</f>
        <v/>
      </c>
      <c r="W127" s="26" t="str">
        <f>IF($B127="","",IF(3&gt;Variables!$C$11,0,COUNTIFS(POS_Time,"&gt;="&amp;($C127+CONVERT(Variables!$C$12,"sec","day")),POS_Time,"&lt;="&amp;($D127-CONVERT(Variables!$C$12+1,"sec","day")),POS_Q,"=3")))</f>
        <v/>
      </c>
      <c r="X127" s="26" t="str">
        <f>IF($B127="","",IF(4&gt;Variables!$C$11,0,COUNTIFS(POS_Time,"&gt;="&amp;($C127+CONVERT(Variables!$C$12,"sec","day")),POS_Time,"&lt;="&amp;($D127-CONVERT(Variables!$C$12+1,"sec","day")),POS_Q,"=4")))</f>
        <v/>
      </c>
      <c r="Y127" s="26" t="str">
        <f>IF($B127="","",IF(5&gt;Variables!$C$11,0,COUNTIFS(POS_Time,"&gt;="&amp;($C127+CONVERT(Variables!$C$12,"sec","day")),POS_Time,"&lt;="&amp;($D127-CONVERT(Variables!$C$12+1,"sec","day")),POS_Q,"=5")))</f>
        <v/>
      </c>
      <c r="Z127" s="26" t="str">
        <f>IF($B127="","",IF(6&gt;Variables!$C$11,0,COUNTIFS(POS_Time,"&gt;="&amp;($C127+CONVERT(Variables!$C$12,"sec","day")),POS_Time,"&lt;="&amp;($D127-CONVERT(Variables!$C$12+1,"sec","day")),POS_Q,"=6")))</f>
        <v/>
      </c>
    </row>
    <row r="128" spans="1:26" x14ac:dyDescent="0.25">
      <c r="A128" s="2">
        <v>127</v>
      </c>
      <c r="B128" s="27" t="str">
        <f>IF((ROW()-1)&lt;=RoverStations,'Rover CSV Data'!B128,"")</f>
        <v/>
      </c>
      <c r="C128" s="28" t="str">
        <f>IF($B128="","",DATEVALUE(LEFT('Rover CSV Data'!F128,FIND(" ",'Rover CSV Data'!F128)-1))+TIMEVALUE(MID('Rover CSV Data'!F128,LEN('Rover CSV Data'!F128)-FIND(" ",'Rover CSV Data'!F128),(FIND(" UTC",'Rover CSV Data'!F128))-(LEN('Rover CSV Data'!F128)-FIND(" ",'Rover CSV Data'!F128)))))</f>
        <v/>
      </c>
      <c r="D128" s="28" t="str">
        <f>IF($B128="","",DATEVALUE(LEFT('Rover CSV Data'!G128,FIND(" ",'Rover CSV Data'!G128)-1))+TIMEVALUE(MID('Rover CSV Data'!G128,LEN('Rover CSV Data'!G128)-FIND(" ",'Rover CSV Data'!G128),(FIND(" UTC",'Rover CSV Data'!G128))-(LEN('Rover CSV Data'!G128)-FIND(" ",'Rover CSV Data'!G128)))))</f>
        <v/>
      </c>
      <c r="E128" s="29" t="str">
        <f t="shared" si="2"/>
        <v/>
      </c>
      <c r="F128" s="26" t="str">
        <f>IF($B128="","",'Rover CSV Data'!J128)</f>
        <v/>
      </c>
      <c r="G128" s="26" t="str">
        <f>IF($B128="","",AVERAGEIFS(POS_Lat,POS_Time,"&gt;="&amp;($C128+CONVERT(Variables!$C$12,"sec","day")),POS_Time,"&lt;="&amp;($D128-CONVERT(Variables!$C$12+1,"sec","day")),POS_Q,"&lt;="&amp;Variables!$C$11))</f>
        <v/>
      </c>
      <c r="H128" s="26" t="str">
        <f>IF($B128="","",AVERAGEIFS(POS_Long,POS_Time,"&gt;="&amp;($C128+CONVERT(Variables!$C$12,"sec","day")),POS_Time,"&lt;="&amp;($D128-CONVERT(Variables!$C$12+1,"sec","day")),POS_Q,"&lt;="&amp;Variables!$C$11))</f>
        <v/>
      </c>
      <c r="I128" s="30" t="str">
        <f>IF($B128="","",AVERAGEIFS(POS_elev,POS_Time,"&gt;="&amp;($C128+CONVERT(Variables!$C$12,"sec","day")),POS_Time,"&lt;="&amp;($D128-CONVERT(Variables!$C$12+1,"sec","day")),POS_Q,"&lt;="&amp;Variables!$C$11)-S128)</f>
        <v/>
      </c>
      <c r="J128" s="26" t="str">
        <f>IF($B128="","",'Rover CSV Data'!D128)</f>
        <v/>
      </c>
      <c r="K128" s="26" t="str">
        <f>IF($B128="","",'Rover CSV Data'!C128)</f>
        <v/>
      </c>
      <c r="L128" s="26" t="str">
        <f>IF($B128="","",'Rover CSV Data'!E128)</f>
        <v/>
      </c>
      <c r="M128" s="30" t="str">
        <f>IF($B128="","",AVERAGEIFS(sdn,POS_Time,"&gt;="&amp;($C128+CONVERT(Variables!$C$12,"sec","day")),POS_Time,"&lt;="&amp;($D128-CONVERT(Variables!$C$12+1,"sec","day")),POS_Q,"&lt;="&amp;Variables!$C$11))</f>
        <v/>
      </c>
      <c r="N128" s="31" t="str">
        <f>IF($B128="","",AVERAGEIFS(sde,POS_Time,"&gt;="&amp;($C128+CONVERT(Variables!$C$12,"sec","day")),POS_Time,"&lt;="&amp;($D128-CONVERT(Variables!$C$12+1,"sec","day")),POS_Q,"&lt;="&amp;Variables!$C$11))</f>
        <v/>
      </c>
      <c r="O128" s="31" t="str">
        <f>IF($B128="","",AVERAGEIFS(sdu,POS_Time,"&gt;="&amp;($C128+CONVERT(Variables!$C$12,"sec","day")),POS_Time,"&lt;="&amp;($D128-CONVERT(Variables!$C$12+1,"sec","day")),POS_Q,"&lt;="&amp;Variables!$C$11))</f>
        <v/>
      </c>
      <c r="P128" s="32" t="str">
        <f t="array" ref="P128">IF($B128="","",STDEV(IF(POS_Time&gt;=($C128+CONVERT(Variables!$C$12,"sec","day")),IF(POS_Time&lt;=($D128-CONVERT(Variables!$C$12+1,"sec","day")),IF(POS_Q&lt;=Variables!$C$11,POS_Lat)))))</f>
        <v/>
      </c>
      <c r="Q128" s="32" t="str">
        <f t="array" ref="Q128">IF($B128="","",STDEV(IF(POS_Time&gt;=($C128+CONVERT(Variables!$C$12,"sec","day")),IF(POS_Time&lt;=($D128-CONVERT(Variables!$C$12+1,"sec","day")),IF(POS_Q&lt;=Variables!$C$11,POS_Long)))))</f>
        <v/>
      </c>
      <c r="R128" s="32" t="str">
        <f t="array" ref="R128">IF($B128="","",STDEV(IF(POS_Time&gt;=($C128+CONVERT(Variables!$C$12,"sec","day")),IF(POS_Time&lt;=($D128-CONVERT(Variables!$C$12+1,"sec","day")),IF(POS_Q&lt;=Variables!$C$11,POS_elev)))))</f>
        <v/>
      </c>
      <c r="S128" s="30" t="str">
        <f>IF($B128="","",'Rover CSV Data'!K128)</f>
        <v/>
      </c>
      <c r="T128" s="26" t="str">
        <f>IF($B128="","",COUNTIFS(POS_Time,"&gt;="&amp;($C128+CONVERT(Variables!$C$12,"sec","day")),POS_Time,"&lt;="&amp;($D128-CONVERT(Variables!$C$12+1,"sec","day")),POS_Q,"&lt;="&amp;Variables!$C$11))</f>
        <v/>
      </c>
      <c r="U128" s="26" t="str">
        <f>IF($B128="","",IF(1&gt;Variables!$C$11,0,COUNTIFS(POS_Time,"&gt;="&amp;($C128+CONVERT(Variables!$C$12,"sec","day")),POS_Time,"&lt;="&amp;($D128-CONVERT(Variables!$C$12+1,"sec","day")),POS_Q,"=1")))</f>
        <v/>
      </c>
      <c r="V128" s="26" t="str">
        <f>IF($B128="","",IF(2&gt;Variables!$C$11,0,COUNTIFS(POS_Time,"&gt;="&amp;($C128+CONVERT(Variables!$C$12,"sec","day")),POS_Time,"&lt;="&amp;($D128-CONVERT(Variables!$C$12+1,"sec","day")),POS_Q,"=2")))</f>
        <v/>
      </c>
      <c r="W128" s="26" t="str">
        <f>IF($B128="","",IF(3&gt;Variables!$C$11,0,COUNTIFS(POS_Time,"&gt;="&amp;($C128+CONVERT(Variables!$C$12,"sec","day")),POS_Time,"&lt;="&amp;($D128-CONVERT(Variables!$C$12+1,"sec","day")),POS_Q,"=3")))</f>
        <v/>
      </c>
      <c r="X128" s="26" t="str">
        <f>IF($B128="","",IF(4&gt;Variables!$C$11,0,COUNTIFS(POS_Time,"&gt;="&amp;($C128+CONVERT(Variables!$C$12,"sec","day")),POS_Time,"&lt;="&amp;($D128-CONVERT(Variables!$C$12+1,"sec","day")),POS_Q,"=4")))</f>
        <v/>
      </c>
      <c r="Y128" s="26" t="str">
        <f>IF($B128="","",IF(5&gt;Variables!$C$11,0,COUNTIFS(POS_Time,"&gt;="&amp;($C128+CONVERT(Variables!$C$12,"sec","day")),POS_Time,"&lt;="&amp;($D128-CONVERT(Variables!$C$12+1,"sec","day")),POS_Q,"=5")))</f>
        <v/>
      </c>
      <c r="Z128" s="26" t="str">
        <f>IF($B128="","",IF(6&gt;Variables!$C$11,0,COUNTIFS(POS_Time,"&gt;="&amp;($C128+CONVERT(Variables!$C$12,"sec","day")),POS_Time,"&lt;="&amp;($D128-CONVERT(Variables!$C$12+1,"sec","day")),POS_Q,"=6")))</f>
        <v/>
      </c>
    </row>
    <row r="129" spans="1:26" x14ac:dyDescent="0.25">
      <c r="A129" s="2">
        <v>128</v>
      </c>
      <c r="B129" s="27" t="str">
        <f>IF((ROW()-1)&lt;=RoverStations,'Rover CSV Data'!B129,"")</f>
        <v/>
      </c>
      <c r="C129" s="28" t="str">
        <f>IF($B129="","",DATEVALUE(LEFT('Rover CSV Data'!F129,FIND(" ",'Rover CSV Data'!F129)-1))+TIMEVALUE(MID('Rover CSV Data'!F129,LEN('Rover CSV Data'!F129)-FIND(" ",'Rover CSV Data'!F129),(FIND(" UTC",'Rover CSV Data'!F129))-(LEN('Rover CSV Data'!F129)-FIND(" ",'Rover CSV Data'!F129)))))</f>
        <v/>
      </c>
      <c r="D129" s="28" t="str">
        <f>IF($B129="","",DATEVALUE(LEFT('Rover CSV Data'!G129,FIND(" ",'Rover CSV Data'!G129)-1))+TIMEVALUE(MID('Rover CSV Data'!G129,LEN('Rover CSV Data'!G129)-FIND(" ",'Rover CSV Data'!G129),(FIND(" UTC",'Rover CSV Data'!G129))-(LEN('Rover CSV Data'!G129)-FIND(" ",'Rover CSV Data'!G129)))))</f>
        <v/>
      </c>
      <c r="E129" s="29" t="str">
        <f t="shared" si="2"/>
        <v/>
      </c>
      <c r="F129" s="26" t="str">
        <f>IF($B129="","",'Rover CSV Data'!J129)</f>
        <v/>
      </c>
      <c r="G129" s="26" t="str">
        <f>IF($B129="","",AVERAGEIFS(POS_Lat,POS_Time,"&gt;="&amp;($C129+CONVERT(Variables!$C$12,"sec","day")),POS_Time,"&lt;="&amp;($D129-CONVERT(Variables!$C$12+1,"sec","day")),POS_Q,"&lt;="&amp;Variables!$C$11))</f>
        <v/>
      </c>
      <c r="H129" s="26" t="str">
        <f>IF($B129="","",AVERAGEIFS(POS_Long,POS_Time,"&gt;="&amp;($C129+CONVERT(Variables!$C$12,"sec","day")),POS_Time,"&lt;="&amp;($D129-CONVERT(Variables!$C$12+1,"sec","day")),POS_Q,"&lt;="&amp;Variables!$C$11))</f>
        <v/>
      </c>
      <c r="I129" s="30" t="str">
        <f>IF($B129="","",AVERAGEIFS(POS_elev,POS_Time,"&gt;="&amp;($C129+CONVERT(Variables!$C$12,"sec","day")),POS_Time,"&lt;="&amp;($D129-CONVERT(Variables!$C$12+1,"sec","day")),POS_Q,"&lt;="&amp;Variables!$C$11)-S129)</f>
        <v/>
      </c>
      <c r="J129" s="26" t="str">
        <f>IF($B129="","",'Rover CSV Data'!D129)</f>
        <v/>
      </c>
      <c r="K129" s="26" t="str">
        <f>IF($B129="","",'Rover CSV Data'!C129)</f>
        <v/>
      </c>
      <c r="L129" s="26" t="str">
        <f>IF($B129="","",'Rover CSV Data'!E129)</f>
        <v/>
      </c>
      <c r="M129" s="30" t="str">
        <f>IF($B129="","",AVERAGEIFS(sdn,POS_Time,"&gt;="&amp;($C129+CONVERT(Variables!$C$12,"sec","day")),POS_Time,"&lt;="&amp;($D129-CONVERT(Variables!$C$12+1,"sec","day")),POS_Q,"&lt;="&amp;Variables!$C$11))</f>
        <v/>
      </c>
      <c r="N129" s="31" t="str">
        <f>IF($B129="","",AVERAGEIFS(sde,POS_Time,"&gt;="&amp;($C129+CONVERT(Variables!$C$12,"sec","day")),POS_Time,"&lt;="&amp;($D129-CONVERT(Variables!$C$12+1,"sec","day")),POS_Q,"&lt;="&amp;Variables!$C$11))</f>
        <v/>
      </c>
      <c r="O129" s="31" t="str">
        <f>IF($B129="","",AVERAGEIFS(sdu,POS_Time,"&gt;="&amp;($C129+CONVERT(Variables!$C$12,"sec","day")),POS_Time,"&lt;="&amp;($D129-CONVERT(Variables!$C$12+1,"sec","day")),POS_Q,"&lt;="&amp;Variables!$C$11))</f>
        <v/>
      </c>
      <c r="P129" s="32" t="str">
        <f t="array" ref="P129">IF($B129="","",STDEV(IF(POS_Time&gt;=($C129+CONVERT(Variables!$C$12,"sec","day")),IF(POS_Time&lt;=($D129-CONVERT(Variables!$C$12+1,"sec","day")),IF(POS_Q&lt;=Variables!$C$11,POS_Lat)))))</f>
        <v/>
      </c>
      <c r="Q129" s="32" t="str">
        <f t="array" ref="Q129">IF($B129="","",STDEV(IF(POS_Time&gt;=($C129+CONVERT(Variables!$C$12,"sec","day")),IF(POS_Time&lt;=($D129-CONVERT(Variables!$C$12+1,"sec","day")),IF(POS_Q&lt;=Variables!$C$11,POS_Long)))))</f>
        <v/>
      </c>
      <c r="R129" s="32" t="str">
        <f t="array" ref="R129">IF($B129="","",STDEV(IF(POS_Time&gt;=($C129+CONVERT(Variables!$C$12,"sec","day")),IF(POS_Time&lt;=($D129-CONVERT(Variables!$C$12+1,"sec","day")),IF(POS_Q&lt;=Variables!$C$11,POS_elev)))))</f>
        <v/>
      </c>
      <c r="S129" s="30" t="str">
        <f>IF($B129="","",'Rover CSV Data'!K129)</f>
        <v/>
      </c>
      <c r="T129" s="26" t="str">
        <f>IF($B129="","",COUNTIFS(POS_Time,"&gt;="&amp;($C129+CONVERT(Variables!$C$12,"sec","day")),POS_Time,"&lt;="&amp;($D129-CONVERT(Variables!$C$12+1,"sec","day")),POS_Q,"&lt;="&amp;Variables!$C$11))</f>
        <v/>
      </c>
      <c r="U129" s="26" t="str">
        <f>IF($B129="","",IF(1&gt;Variables!$C$11,0,COUNTIFS(POS_Time,"&gt;="&amp;($C129+CONVERT(Variables!$C$12,"sec","day")),POS_Time,"&lt;="&amp;($D129-CONVERT(Variables!$C$12+1,"sec","day")),POS_Q,"=1")))</f>
        <v/>
      </c>
      <c r="V129" s="26" t="str">
        <f>IF($B129="","",IF(2&gt;Variables!$C$11,0,COUNTIFS(POS_Time,"&gt;="&amp;($C129+CONVERT(Variables!$C$12,"sec","day")),POS_Time,"&lt;="&amp;($D129-CONVERT(Variables!$C$12+1,"sec","day")),POS_Q,"=2")))</f>
        <v/>
      </c>
      <c r="W129" s="26" t="str">
        <f>IF($B129="","",IF(3&gt;Variables!$C$11,0,COUNTIFS(POS_Time,"&gt;="&amp;($C129+CONVERT(Variables!$C$12,"sec","day")),POS_Time,"&lt;="&amp;($D129-CONVERT(Variables!$C$12+1,"sec","day")),POS_Q,"=3")))</f>
        <v/>
      </c>
      <c r="X129" s="26" t="str">
        <f>IF($B129="","",IF(4&gt;Variables!$C$11,0,COUNTIFS(POS_Time,"&gt;="&amp;($C129+CONVERT(Variables!$C$12,"sec","day")),POS_Time,"&lt;="&amp;($D129-CONVERT(Variables!$C$12+1,"sec","day")),POS_Q,"=4")))</f>
        <v/>
      </c>
      <c r="Y129" s="26" t="str">
        <f>IF($B129="","",IF(5&gt;Variables!$C$11,0,COUNTIFS(POS_Time,"&gt;="&amp;($C129+CONVERT(Variables!$C$12,"sec","day")),POS_Time,"&lt;="&amp;($D129-CONVERT(Variables!$C$12+1,"sec","day")),POS_Q,"=5")))</f>
        <v/>
      </c>
      <c r="Z129" s="26" t="str">
        <f>IF($B129="","",IF(6&gt;Variables!$C$11,0,COUNTIFS(POS_Time,"&gt;="&amp;($C129+CONVERT(Variables!$C$12,"sec","day")),POS_Time,"&lt;="&amp;($D129-CONVERT(Variables!$C$12+1,"sec","day")),POS_Q,"=6")))</f>
        <v/>
      </c>
    </row>
    <row r="130" spans="1:26" x14ac:dyDescent="0.25">
      <c r="A130" s="2">
        <v>129</v>
      </c>
      <c r="B130" s="27" t="str">
        <f>IF((ROW()-1)&lt;=RoverStations,'Rover CSV Data'!B130,"")</f>
        <v/>
      </c>
      <c r="C130" s="28" t="str">
        <f>IF($B130="","",DATEVALUE(LEFT('Rover CSV Data'!F130,FIND(" ",'Rover CSV Data'!F130)-1))+TIMEVALUE(MID('Rover CSV Data'!F130,LEN('Rover CSV Data'!F130)-FIND(" ",'Rover CSV Data'!F130),(FIND(" UTC",'Rover CSV Data'!F130))-(LEN('Rover CSV Data'!F130)-FIND(" ",'Rover CSV Data'!F130)))))</f>
        <v/>
      </c>
      <c r="D130" s="28" t="str">
        <f>IF($B130="","",DATEVALUE(LEFT('Rover CSV Data'!G130,FIND(" ",'Rover CSV Data'!G130)-1))+TIMEVALUE(MID('Rover CSV Data'!G130,LEN('Rover CSV Data'!G130)-FIND(" ",'Rover CSV Data'!G130),(FIND(" UTC",'Rover CSV Data'!G130))-(LEN('Rover CSV Data'!G130)-FIND(" ",'Rover CSV Data'!G130)))))</f>
        <v/>
      </c>
      <c r="E130" s="29" t="str">
        <f t="shared" si="2"/>
        <v/>
      </c>
      <c r="F130" s="26" t="str">
        <f>IF($B130="","",'Rover CSV Data'!J130)</f>
        <v/>
      </c>
      <c r="G130" s="26" t="str">
        <f>IF($B130="","",AVERAGEIFS(POS_Lat,POS_Time,"&gt;="&amp;($C130+CONVERT(Variables!$C$12,"sec","day")),POS_Time,"&lt;="&amp;($D130-CONVERT(Variables!$C$12+1,"sec","day")),POS_Q,"&lt;="&amp;Variables!$C$11))</f>
        <v/>
      </c>
      <c r="H130" s="26" t="str">
        <f>IF($B130="","",AVERAGEIFS(POS_Long,POS_Time,"&gt;="&amp;($C130+CONVERT(Variables!$C$12,"sec","day")),POS_Time,"&lt;="&amp;($D130-CONVERT(Variables!$C$12+1,"sec","day")),POS_Q,"&lt;="&amp;Variables!$C$11))</f>
        <v/>
      </c>
      <c r="I130" s="30" t="str">
        <f>IF($B130="","",AVERAGEIFS(POS_elev,POS_Time,"&gt;="&amp;($C130+CONVERT(Variables!$C$12,"sec","day")),POS_Time,"&lt;="&amp;($D130-CONVERT(Variables!$C$12+1,"sec","day")),POS_Q,"&lt;="&amp;Variables!$C$11)-S130)</f>
        <v/>
      </c>
      <c r="J130" s="26" t="str">
        <f>IF($B130="","",'Rover CSV Data'!D130)</f>
        <v/>
      </c>
      <c r="K130" s="26" t="str">
        <f>IF($B130="","",'Rover CSV Data'!C130)</f>
        <v/>
      </c>
      <c r="L130" s="26" t="str">
        <f>IF($B130="","",'Rover CSV Data'!E130)</f>
        <v/>
      </c>
      <c r="M130" s="30" t="str">
        <f>IF($B130="","",AVERAGEIFS(sdn,POS_Time,"&gt;="&amp;($C130+CONVERT(Variables!$C$12,"sec","day")),POS_Time,"&lt;="&amp;($D130-CONVERT(Variables!$C$12+1,"sec","day")),POS_Q,"&lt;="&amp;Variables!$C$11))</f>
        <v/>
      </c>
      <c r="N130" s="31" t="str">
        <f>IF($B130="","",AVERAGEIFS(sde,POS_Time,"&gt;="&amp;($C130+CONVERT(Variables!$C$12,"sec","day")),POS_Time,"&lt;="&amp;($D130-CONVERT(Variables!$C$12+1,"sec","day")),POS_Q,"&lt;="&amp;Variables!$C$11))</f>
        <v/>
      </c>
      <c r="O130" s="31" t="str">
        <f>IF($B130="","",AVERAGEIFS(sdu,POS_Time,"&gt;="&amp;($C130+CONVERT(Variables!$C$12,"sec","day")),POS_Time,"&lt;="&amp;($D130-CONVERT(Variables!$C$12+1,"sec","day")),POS_Q,"&lt;="&amp;Variables!$C$11))</f>
        <v/>
      </c>
      <c r="P130" s="32" t="str">
        <f t="array" ref="P130">IF($B130="","",STDEV(IF(POS_Time&gt;=($C130+CONVERT(Variables!$C$12,"sec","day")),IF(POS_Time&lt;=($D130-CONVERT(Variables!$C$12+1,"sec","day")),IF(POS_Q&lt;=Variables!$C$11,POS_Lat)))))</f>
        <v/>
      </c>
      <c r="Q130" s="32" t="str">
        <f t="array" ref="Q130">IF($B130="","",STDEV(IF(POS_Time&gt;=($C130+CONVERT(Variables!$C$12,"sec","day")),IF(POS_Time&lt;=($D130-CONVERT(Variables!$C$12+1,"sec","day")),IF(POS_Q&lt;=Variables!$C$11,POS_Long)))))</f>
        <v/>
      </c>
      <c r="R130" s="32" t="str">
        <f t="array" ref="R130">IF($B130="","",STDEV(IF(POS_Time&gt;=($C130+CONVERT(Variables!$C$12,"sec","day")),IF(POS_Time&lt;=($D130-CONVERT(Variables!$C$12+1,"sec","day")),IF(POS_Q&lt;=Variables!$C$11,POS_elev)))))</f>
        <v/>
      </c>
      <c r="S130" s="30" t="str">
        <f>IF($B130="","",'Rover CSV Data'!K130)</f>
        <v/>
      </c>
      <c r="T130" s="26" t="str">
        <f>IF($B130="","",COUNTIFS(POS_Time,"&gt;="&amp;($C130+CONVERT(Variables!$C$12,"sec","day")),POS_Time,"&lt;="&amp;($D130-CONVERT(Variables!$C$12+1,"sec","day")),POS_Q,"&lt;="&amp;Variables!$C$11))</f>
        <v/>
      </c>
      <c r="U130" s="26" t="str">
        <f>IF($B130="","",IF(1&gt;Variables!$C$11,0,COUNTIFS(POS_Time,"&gt;="&amp;($C130+CONVERT(Variables!$C$12,"sec","day")),POS_Time,"&lt;="&amp;($D130-CONVERT(Variables!$C$12+1,"sec","day")),POS_Q,"=1")))</f>
        <v/>
      </c>
      <c r="V130" s="26" t="str">
        <f>IF($B130="","",IF(2&gt;Variables!$C$11,0,COUNTIFS(POS_Time,"&gt;="&amp;($C130+CONVERT(Variables!$C$12,"sec","day")),POS_Time,"&lt;="&amp;($D130-CONVERT(Variables!$C$12+1,"sec","day")),POS_Q,"=2")))</f>
        <v/>
      </c>
      <c r="W130" s="26" t="str">
        <f>IF($B130="","",IF(3&gt;Variables!$C$11,0,COUNTIFS(POS_Time,"&gt;="&amp;($C130+CONVERT(Variables!$C$12,"sec","day")),POS_Time,"&lt;="&amp;($D130-CONVERT(Variables!$C$12+1,"sec","day")),POS_Q,"=3")))</f>
        <v/>
      </c>
      <c r="X130" s="26" t="str">
        <f>IF($B130="","",IF(4&gt;Variables!$C$11,0,COUNTIFS(POS_Time,"&gt;="&amp;($C130+CONVERT(Variables!$C$12,"sec","day")),POS_Time,"&lt;="&amp;($D130-CONVERT(Variables!$C$12+1,"sec","day")),POS_Q,"=4")))</f>
        <v/>
      </c>
      <c r="Y130" s="26" t="str">
        <f>IF($B130="","",IF(5&gt;Variables!$C$11,0,COUNTIFS(POS_Time,"&gt;="&amp;($C130+CONVERT(Variables!$C$12,"sec","day")),POS_Time,"&lt;="&amp;($D130-CONVERT(Variables!$C$12+1,"sec","day")),POS_Q,"=5")))</f>
        <v/>
      </c>
      <c r="Z130" s="26" t="str">
        <f>IF($B130="","",IF(6&gt;Variables!$C$11,0,COUNTIFS(POS_Time,"&gt;="&amp;($C130+CONVERT(Variables!$C$12,"sec","day")),POS_Time,"&lt;="&amp;($D130-CONVERT(Variables!$C$12+1,"sec","day")),POS_Q,"=6")))</f>
        <v/>
      </c>
    </row>
    <row r="131" spans="1:26" x14ac:dyDescent="0.25">
      <c r="A131" s="2">
        <v>130</v>
      </c>
      <c r="B131" s="27" t="str">
        <f>IF((ROW()-1)&lt;=RoverStations,'Rover CSV Data'!B131,"")</f>
        <v/>
      </c>
      <c r="C131" s="28" t="str">
        <f>IF($B131="","",DATEVALUE(LEFT('Rover CSV Data'!F131,FIND(" ",'Rover CSV Data'!F131)-1))+TIMEVALUE(MID('Rover CSV Data'!F131,LEN('Rover CSV Data'!F131)-FIND(" ",'Rover CSV Data'!F131),(FIND(" UTC",'Rover CSV Data'!F131))-(LEN('Rover CSV Data'!F131)-FIND(" ",'Rover CSV Data'!F131)))))</f>
        <v/>
      </c>
      <c r="D131" s="28" t="str">
        <f>IF($B131="","",DATEVALUE(LEFT('Rover CSV Data'!G131,FIND(" ",'Rover CSV Data'!G131)-1))+TIMEVALUE(MID('Rover CSV Data'!G131,LEN('Rover CSV Data'!G131)-FIND(" ",'Rover CSV Data'!G131),(FIND(" UTC",'Rover CSV Data'!G131))-(LEN('Rover CSV Data'!G131)-FIND(" ",'Rover CSV Data'!G131)))))</f>
        <v/>
      </c>
      <c r="E131" s="29" t="str">
        <f t="shared" si="2"/>
        <v/>
      </c>
      <c r="F131" s="26" t="str">
        <f>IF($B131="","",'Rover CSV Data'!J131)</f>
        <v/>
      </c>
      <c r="G131" s="26" t="str">
        <f>IF($B131="","",AVERAGEIFS(POS_Lat,POS_Time,"&gt;="&amp;($C131+CONVERT(Variables!$C$12,"sec","day")),POS_Time,"&lt;="&amp;($D131-CONVERT(Variables!$C$12+1,"sec","day")),POS_Q,"&lt;="&amp;Variables!$C$11))</f>
        <v/>
      </c>
      <c r="H131" s="26" t="str">
        <f>IF($B131="","",AVERAGEIFS(POS_Long,POS_Time,"&gt;="&amp;($C131+CONVERT(Variables!$C$12,"sec","day")),POS_Time,"&lt;="&amp;($D131-CONVERT(Variables!$C$12+1,"sec","day")),POS_Q,"&lt;="&amp;Variables!$C$11))</f>
        <v/>
      </c>
      <c r="I131" s="30" t="str">
        <f>IF($B131="","",AVERAGEIFS(POS_elev,POS_Time,"&gt;="&amp;($C131+CONVERT(Variables!$C$12,"sec","day")),POS_Time,"&lt;="&amp;($D131-CONVERT(Variables!$C$12+1,"sec","day")),POS_Q,"&lt;="&amp;Variables!$C$11)-S131)</f>
        <v/>
      </c>
      <c r="J131" s="26" t="str">
        <f>IF($B131="","",'Rover CSV Data'!D131)</f>
        <v/>
      </c>
      <c r="K131" s="26" t="str">
        <f>IF($B131="","",'Rover CSV Data'!C131)</f>
        <v/>
      </c>
      <c r="L131" s="26" t="str">
        <f>IF($B131="","",'Rover CSV Data'!E131)</f>
        <v/>
      </c>
      <c r="M131" s="30" t="str">
        <f>IF($B131="","",AVERAGEIFS(sdn,POS_Time,"&gt;="&amp;($C131+CONVERT(Variables!$C$12,"sec","day")),POS_Time,"&lt;="&amp;($D131-CONVERT(Variables!$C$12+1,"sec","day")),POS_Q,"&lt;="&amp;Variables!$C$11))</f>
        <v/>
      </c>
      <c r="N131" s="31" t="str">
        <f>IF($B131="","",AVERAGEIFS(sde,POS_Time,"&gt;="&amp;($C131+CONVERT(Variables!$C$12,"sec","day")),POS_Time,"&lt;="&amp;($D131-CONVERT(Variables!$C$12+1,"sec","day")),POS_Q,"&lt;="&amp;Variables!$C$11))</f>
        <v/>
      </c>
      <c r="O131" s="31" t="str">
        <f>IF($B131="","",AVERAGEIFS(sdu,POS_Time,"&gt;="&amp;($C131+CONVERT(Variables!$C$12,"sec","day")),POS_Time,"&lt;="&amp;($D131-CONVERT(Variables!$C$12+1,"sec","day")),POS_Q,"&lt;="&amp;Variables!$C$11))</f>
        <v/>
      </c>
      <c r="P131" s="32" t="str">
        <f t="array" ref="P131">IF($B131="","",STDEV(IF(POS_Time&gt;=($C131+CONVERT(Variables!$C$12,"sec","day")),IF(POS_Time&lt;=($D131-CONVERT(Variables!$C$12+1,"sec","day")),IF(POS_Q&lt;=Variables!$C$11,POS_Lat)))))</f>
        <v/>
      </c>
      <c r="Q131" s="32" t="str">
        <f t="array" ref="Q131">IF($B131="","",STDEV(IF(POS_Time&gt;=($C131+CONVERT(Variables!$C$12,"sec","day")),IF(POS_Time&lt;=($D131-CONVERT(Variables!$C$12+1,"sec","day")),IF(POS_Q&lt;=Variables!$C$11,POS_Long)))))</f>
        <v/>
      </c>
      <c r="R131" s="32" t="str">
        <f t="array" ref="R131">IF($B131="","",STDEV(IF(POS_Time&gt;=($C131+CONVERT(Variables!$C$12,"sec","day")),IF(POS_Time&lt;=($D131-CONVERT(Variables!$C$12+1,"sec","day")),IF(POS_Q&lt;=Variables!$C$11,POS_elev)))))</f>
        <v/>
      </c>
      <c r="S131" s="30" t="str">
        <f>IF($B131="","",'Rover CSV Data'!K131)</f>
        <v/>
      </c>
      <c r="T131" s="26" t="str">
        <f>IF($B131="","",COUNTIFS(POS_Time,"&gt;="&amp;($C131+CONVERT(Variables!$C$12,"sec","day")),POS_Time,"&lt;="&amp;($D131-CONVERT(Variables!$C$12+1,"sec","day")),POS_Q,"&lt;="&amp;Variables!$C$11))</f>
        <v/>
      </c>
      <c r="U131" s="26" t="str">
        <f>IF($B131="","",IF(1&gt;Variables!$C$11,0,COUNTIFS(POS_Time,"&gt;="&amp;($C131+CONVERT(Variables!$C$12,"sec","day")),POS_Time,"&lt;="&amp;($D131-CONVERT(Variables!$C$12+1,"sec","day")),POS_Q,"=1")))</f>
        <v/>
      </c>
      <c r="V131" s="26" t="str">
        <f>IF($B131="","",IF(2&gt;Variables!$C$11,0,COUNTIFS(POS_Time,"&gt;="&amp;($C131+CONVERT(Variables!$C$12,"sec","day")),POS_Time,"&lt;="&amp;($D131-CONVERT(Variables!$C$12+1,"sec","day")),POS_Q,"=2")))</f>
        <v/>
      </c>
      <c r="W131" s="26" t="str">
        <f>IF($B131="","",IF(3&gt;Variables!$C$11,0,COUNTIFS(POS_Time,"&gt;="&amp;($C131+CONVERT(Variables!$C$12,"sec","day")),POS_Time,"&lt;="&amp;($D131-CONVERT(Variables!$C$12+1,"sec","day")),POS_Q,"=3")))</f>
        <v/>
      </c>
      <c r="X131" s="26" t="str">
        <f>IF($B131="","",IF(4&gt;Variables!$C$11,0,COUNTIFS(POS_Time,"&gt;="&amp;($C131+CONVERT(Variables!$C$12,"sec","day")),POS_Time,"&lt;="&amp;($D131-CONVERT(Variables!$C$12+1,"sec","day")),POS_Q,"=4")))</f>
        <v/>
      </c>
      <c r="Y131" s="26" t="str">
        <f>IF($B131="","",IF(5&gt;Variables!$C$11,0,COUNTIFS(POS_Time,"&gt;="&amp;($C131+CONVERT(Variables!$C$12,"sec","day")),POS_Time,"&lt;="&amp;($D131-CONVERT(Variables!$C$12+1,"sec","day")),POS_Q,"=5")))</f>
        <v/>
      </c>
      <c r="Z131" s="26" t="str">
        <f>IF($B131="","",IF(6&gt;Variables!$C$11,0,COUNTIFS(POS_Time,"&gt;="&amp;($C131+CONVERT(Variables!$C$12,"sec","day")),POS_Time,"&lt;="&amp;($D131-CONVERT(Variables!$C$12+1,"sec","day")),POS_Q,"=6")))</f>
        <v/>
      </c>
    </row>
    <row r="132" spans="1:26" x14ac:dyDescent="0.25">
      <c r="A132" s="2">
        <v>131</v>
      </c>
      <c r="B132" s="27" t="str">
        <f>IF((ROW()-1)&lt;=RoverStations,'Rover CSV Data'!B132,"")</f>
        <v/>
      </c>
      <c r="C132" s="28" t="str">
        <f>IF($B132="","",DATEVALUE(LEFT('Rover CSV Data'!F132,FIND(" ",'Rover CSV Data'!F132)-1))+TIMEVALUE(MID('Rover CSV Data'!F132,LEN('Rover CSV Data'!F132)-FIND(" ",'Rover CSV Data'!F132),(FIND(" UTC",'Rover CSV Data'!F132))-(LEN('Rover CSV Data'!F132)-FIND(" ",'Rover CSV Data'!F132)))))</f>
        <v/>
      </c>
      <c r="D132" s="28" t="str">
        <f>IF($B132="","",DATEVALUE(LEFT('Rover CSV Data'!G132,FIND(" ",'Rover CSV Data'!G132)-1))+TIMEVALUE(MID('Rover CSV Data'!G132,LEN('Rover CSV Data'!G132)-FIND(" ",'Rover CSV Data'!G132),(FIND(" UTC",'Rover CSV Data'!G132))-(LEN('Rover CSV Data'!G132)-FIND(" ",'Rover CSV Data'!G132)))))</f>
        <v/>
      </c>
      <c r="E132" s="29" t="str">
        <f t="shared" si="2"/>
        <v/>
      </c>
      <c r="F132" s="26" t="str">
        <f>IF($B132="","",'Rover CSV Data'!J132)</f>
        <v/>
      </c>
      <c r="G132" s="26" t="str">
        <f>IF($B132="","",AVERAGEIFS(POS_Lat,POS_Time,"&gt;="&amp;($C132+CONVERT(Variables!$C$12,"sec","day")),POS_Time,"&lt;="&amp;($D132-CONVERT(Variables!$C$12+1,"sec","day")),POS_Q,"&lt;="&amp;Variables!$C$11))</f>
        <v/>
      </c>
      <c r="H132" s="26" t="str">
        <f>IF($B132="","",AVERAGEIFS(POS_Long,POS_Time,"&gt;="&amp;($C132+CONVERT(Variables!$C$12,"sec","day")),POS_Time,"&lt;="&amp;($D132-CONVERT(Variables!$C$12+1,"sec","day")),POS_Q,"&lt;="&amp;Variables!$C$11))</f>
        <v/>
      </c>
      <c r="I132" s="30" t="str">
        <f>IF($B132="","",AVERAGEIFS(POS_elev,POS_Time,"&gt;="&amp;($C132+CONVERT(Variables!$C$12,"sec","day")),POS_Time,"&lt;="&amp;($D132-CONVERT(Variables!$C$12+1,"sec","day")),POS_Q,"&lt;="&amp;Variables!$C$11)-S132)</f>
        <v/>
      </c>
      <c r="J132" s="26" t="str">
        <f>IF($B132="","",'Rover CSV Data'!D132)</f>
        <v/>
      </c>
      <c r="K132" s="26" t="str">
        <f>IF($B132="","",'Rover CSV Data'!C132)</f>
        <v/>
      </c>
      <c r="L132" s="26" t="str">
        <f>IF($B132="","",'Rover CSV Data'!E132)</f>
        <v/>
      </c>
      <c r="M132" s="30" t="str">
        <f>IF($B132="","",AVERAGEIFS(sdn,POS_Time,"&gt;="&amp;($C132+CONVERT(Variables!$C$12,"sec","day")),POS_Time,"&lt;="&amp;($D132-CONVERT(Variables!$C$12+1,"sec","day")),POS_Q,"&lt;="&amp;Variables!$C$11))</f>
        <v/>
      </c>
      <c r="N132" s="31" t="str">
        <f>IF($B132="","",AVERAGEIFS(sde,POS_Time,"&gt;="&amp;($C132+CONVERT(Variables!$C$12,"sec","day")),POS_Time,"&lt;="&amp;($D132-CONVERT(Variables!$C$12+1,"sec","day")),POS_Q,"&lt;="&amp;Variables!$C$11))</f>
        <v/>
      </c>
      <c r="O132" s="31" t="str">
        <f>IF($B132="","",AVERAGEIFS(sdu,POS_Time,"&gt;="&amp;($C132+CONVERT(Variables!$C$12,"sec","day")),POS_Time,"&lt;="&amp;($D132-CONVERT(Variables!$C$12+1,"sec","day")),POS_Q,"&lt;="&amp;Variables!$C$11))</f>
        <v/>
      </c>
      <c r="P132" s="32" t="str">
        <f t="array" ref="P132">IF($B132="","",STDEV(IF(POS_Time&gt;=($C132+CONVERT(Variables!$C$12,"sec","day")),IF(POS_Time&lt;=($D132-CONVERT(Variables!$C$12+1,"sec","day")),IF(POS_Q&lt;=Variables!$C$11,POS_Lat)))))</f>
        <v/>
      </c>
      <c r="Q132" s="32" t="str">
        <f t="array" ref="Q132">IF($B132="","",STDEV(IF(POS_Time&gt;=($C132+CONVERT(Variables!$C$12,"sec","day")),IF(POS_Time&lt;=($D132-CONVERT(Variables!$C$12+1,"sec","day")),IF(POS_Q&lt;=Variables!$C$11,POS_Long)))))</f>
        <v/>
      </c>
      <c r="R132" s="32" t="str">
        <f t="array" ref="R132">IF($B132="","",STDEV(IF(POS_Time&gt;=($C132+CONVERT(Variables!$C$12,"sec","day")),IF(POS_Time&lt;=($D132-CONVERT(Variables!$C$12+1,"sec","day")),IF(POS_Q&lt;=Variables!$C$11,POS_elev)))))</f>
        <v/>
      </c>
      <c r="S132" s="30" t="str">
        <f>IF($B132="","",'Rover CSV Data'!K132)</f>
        <v/>
      </c>
      <c r="T132" s="26" t="str">
        <f>IF($B132="","",COUNTIFS(POS_Time,"&gt;="&amp;($C132+CONVERT(Variables!$C$12,"sec","day")),POS_Time,"&lt;="&amp;($D132-CONVERT(Variables!$C$12+1,"sec","day")),POS_Q,"&lt;="&amp;Variables!$C$11))</f>
        <v/>
      </c>
      <c r="U132" s="26" t="str">
        <f>IF($B132="","",IF(1&gt;Variables!$C$11,0,COUNTIFS(POS_Time,"&gt;="&amp;($C132+CONVERT(Variables!$C$12,"sec","day")),POS_Time,"&lt;="&amp;($D132-CONVERT(Variables!$C$12+1,"sec","day")),POS_Q,"=1")))</f>
        <v/>
      </c>
      <c r="V132" s="26" t="str">
        <f>IF($B132="","",IF(2&gt;Variables!$C$11,0,COUNTIFS(POS_Time,"&gt;="&amp;($C132+CONVERT(Variables!$C$12,"sec","day")),POS_Time,"&lt;="&amp;($D132-CONVERT(Variables!$C$12+1,"sec","day")),POS_Q,"=2")))</f>
        <v/>
      </c>
      <c r="W132" s="26" t="str">
        <f>IF($B132="","",IF(3&gt;Variables!$C$11,0,COUNTIFS(POS_Time,"&gt;="&amp;($C132+CONVERT(Variables!$C$12,"sec","day")),POS_Time,"&lt;="&amp;($D132-CONVERT(Variables!$C$12+1,"sec","day")),POS_Q,"=3")))</f>
        <v/>
      </c>
      <c r="X132" s="26" t="str">
        <f>IF($B132="","",IF(4&gt;Variables!$C$11,0,COUNTIFS(POS_Time,"&gt;="&amp;($C132+CONVERT(Variables!$C$12,"sec","day")),POS_Time,"&lt;="&amp;($D132-CONVERT(Variables!$C$12+1,"sec","day")),POS_Q,"=4")))</f>
        <v/>
      </c>
      <c r="Y132" s="26" t="str">
        <f>IF($B132="","",IF(5&gt;Variables!$C$11,0,COUNTIFS(POS_Time,"&gt;="&amp;($C132+CONVERT(Variables!$C$12,"sec","day")),POS_Time,"&lt;="&amp;($D132-CONVERT(Variables!$C$12+1,"sec","day")),POS_Q,"=5")))</f>
        <v/>
      </c>
      <c r="Z132" s="26" t="str">
        <f>IF($B132="","",IF(6&gt;Variables!$C$11,0,COUNTIFS(POS_Time,"&gt;="&amp;($C132+CONVERT(Variables!$C$12,"sec","day")),POS_Time,"&lt;="&amp;($D132-CONVERT(Variables!$C$12+1,"sec","day")),POS_Q,"=6")))</f>
        <v/>
      </c>
    </row>
    <row r="133" spans="1:26" x14ac:dyDescent="0.25">
      <c r="A133" s="2">
        <v>132</v>
      </c>
      <c r="B133" s="27" t="str">
        <f>IF((ROW()-1)&lt;=RoverStations,'Rover CSV Data'!B133,"")</f>
        <v/>
      </c>
      <c r="C133" s="28" t="str">
        <f>IF($B133="","",DATEVALUE(LEFT('Rover CSV Data'!F133,FIND(" ",'Rover CSV Data'!F133)-1))+TIMEVALUE(MID('Rover CSV Data'!F133,LEN('Rover CSV Data'!F133)-FIND(" ",'Rover CSV Data'!F133),(FIND(" UTC",'Rover CSV Data'!F133))-(LEN('Rover CSV Data'!F133)-FIND(" ",'Rover CSV Data'!F133)))))</f>
        <v/>
      </c>
      <c r="D133" s="28" t="str">
        <f>IF($B133="","",DATEVALUE(LEFT('Rover CSV Data'!G133,FIND(" ",'Rover CSV Data'!G133)-1))+TIMEVALUE(MID('Rover CSV Data'!G133,LEN('Rover CSV Data'!G133)-FIND(" ",'Rover CSV Data'!G133),(FIND(" UTC",'Rover CSV Data'!G133))-(LEN('Rover CSV Data'!G133)-FIND(" ",'Rover CSV Data'!G133)))))</f>
        <v/>
      </c>
      <c r="E133" s="29" t="str">
        <f t="shared" si="2"/>
        <v/>
      </c>
      <c r="F133" s="26" t="str">
        <f>IF($B133="","",'Rover CSV Data'!J133)</f>
        <v/>
      </c>
      <c r="G133" s="26" t="str">
        <f>IF($B133="","",AVERAGEIFS(POS_Lat,POS_Time,"&gt;="&amp;($C133+CONVERT(Variables!$C$12,"sec","day")),POS_Time,"&lt;="&amp;($D133-CONVERT(Variables!$C$12+1,"sec","day")),POS_Q,"&lt;="&amp;Variables!$C$11))</f>
        <v/>
      </c>
      <c r="H133" s="26" t="str">
        <f>IF($B133="","",AVERAGEIFS(POS_Long,POS_Time,"&gt;="&amp;($C133+CONVERT(Variables!$C$12,"sec","day")),POS_Time,"&lt;="&amp;($D133-CONVERT(Variables!$C$12+1,"sec","day")),POS_Q,"&lt;="&amp;Variables!$C$11))</f>
        <v/>
      </c>
      <c r="I133" s="30" t="str">
        <f>IF($B133="","",AVERAGEIFS(POS_elev,POS_Time,"&gt;="&amp;($C133+CONVERT(Variables!$C$12,"sec","day")),POS_Time,"&lt;="&amp;($D133-CONVERT(Variables!$C$12+1,"sec","day")),POS_Q,"&lt;="&amp;Variables!$C$11)-S133)</f>
        <v/>
      </c>
      <c r="J133" s="26" t="str">
        <f>IF($B133="","",'Rover CSV Data'!D133)</f>
        <v/>
      </c>
      <c r="K133" s="26" t="str">
        <f>IF($B133="","",'Rover CSV Data'!C133)</f>
        <v/>
      </c>
      <c r="L133" s="26" t="str">
        <f>IF($B133="","",'Rover CSV Data'!E133)</f>
        <v/>
      </c>
      <c r="M133" s="30" t="str">
        <f>IF($B133="","",AVERAGEIFS(sdn,POS_Time,"&gt;="&amp;($C133+CONVERT(Variables!$C$12,"sec","day")),POS_Time,"&lt;="&amp;($D133-CONVERT(Variables!$C$12+1,"sec","day")),POS_Q,"&lt;="&amp;Variables!$C$11))</f>
        <v/>
      </c>
      <c r="N133" s="31" t="str">
        <f>IF($B133="","",AVERAGEIFS(sde,POS_Time,"&gt;="&amp;($C133+CONVERT(Variables!$C$12,"sec","day")),POS_Time,"&lt;="&amp;($D133-CONVERT(Variables!$C$12+1,"sec","day")),POS_Q,"&lt;="&amp;Variables!$C$11))</f>
        <v/>
      </c>
      <c r="O133" s="31" t="str">
        <f>IF($B133="","",AVERAGEIFS(sdu,POS_Time,"&gt;="&amp;($C133+CONVERT(Variables!$C$12,"sec","day")),POS_Time,"&lt;="&amp;($D133-CONVERT(Variables!$C$12+1,"sec","day")),POS_Q,"&lt;="&amp;Variables!$C$11))</f>
        <v/>
      </c>
      <c r="P133" s="32" t="str">
        <f t="array" ref="P133">IF($B133="","",STDEV(IF(POS_Time&gt;=($C133+CONVERT(Variables!$C$12,"sec","day")),IF(POS_Time&lt;=($D133-CONVERT(Variables!$C$12+1,"sec","day")),IF(POS_Q&lt;=Variables!$C$11,POS_Lat)))))</f>
        <v/>
      </c>
      <c r="Q133" s="32" t="str">
        <f t="array" ref="Q133">IF($B133="","",STDEV(IF(POS_Time&gt;=($C133+CONVERT(Variables!$C$12,"sec","day")),IF(POS_Time&lt;=($D133-CONVERT(Variables!$C$12+1,"sec","day")),IF(POS_Q&lt;=Variables!$C$11,POS_Long)))))</f>
        <v/>
      </c>
      <c r="R133" s="32" t="str">
        <f t="array" ref="R133">IF($B133="","",STDEV(IF(POS_Time&gt;=($C133+CONVERT(Variables!$C$12,"sec","day")),IF(POS_Time&lt;=($D133-CONVERT(Variables!$C$12+1,"sec","day")),IF(POS_Q&lt;=Variables!$C$11,POS_elev)))))</f>
        <v/>
      </c>
      <c r="S133" s="30" t="str">
        <f>IF($B133="","",'Rover CSV Data'!K133)</f>
        <v/>
      </c>
      <c r="T133" s="26" t="str">
        <f>IF($B133="","",COUNTIFS(POS_Time,"&gt;="&amp;($C133+CONVERT(Variables!$C$12,"sec","day")),POS_Time,"&lt;="&amp;($D133-CONVERT(Variables!$C$12+1,"sec","day")),POS_Q,"&lt;="&amp;Variables!$C$11))</f>
        <v/>
      </c>
      <c r="U133" s="26" t="str">
        <f>IF($B133="","",IF(1&gt;Variables!$C$11,0,COUNTIFS(POS_Time,"&gt;="&amp;($C133+CONVERT(Variables!$C$12,"sec","day")),POS_Time,"&lt;="&amp;($D133-CONVERT(Variables!$C$12+1,"sec","day")),POS_Q,"=1")))</f>
        <v/>
      </c>
      <c r="V133" s="26" t="str">
        <f>IF($B133="","",IF(2&gt;Variables!$C$11,0,COUNTIFS(POS_Time,"&gt;="&amp;($C133+CONVERT(Variables!$C$12,"sec","day")),POS_Time,"&lt;="&amp;($D133-CONVERT(Variables!$C$12+1,"sec","day")),POS_Q,"=2")))</f>
        <v/>
      </c>
      <c r="W133" s="26" t="str">
        <f>IF($B133="","",IF(3&gt;Variables!$C$11,0,COUNTIFS(POS_Time,"&gt;="&amp;($C133+CONVERT(Variables!$C$12,"sec","day")),POS_Time,"&lt;="&amp;($D133-CONVERT(Variables!$C$12+1,"sec","day")),POS_Q,"=3")))</f>
        <v/>
      </c>
      <c r="X133" s="26" t="str">
        <f>IF($B133="","",IF(4&gt;Variables!$C$11,0,COUNTIFS(POS_Time,"&gt;="&amp;($C133+CONVERT(Variables!$C$12,"sec","day")),POS_Time,"&lt;="&amp;($D133-CONVERT(Variables!$C$12+1,"sec","day")),POS_Q,"=4")))</f>
        <v/>
      </c>
      <c r="Y133" s="26" t="str">
        <f>IF($B133="","",IF(5&gt;Variables!$C$11,0,COUNTIFS(POS_Time,"&gt;="&amp;($C133+CONVERT(Variables!$C$12,"sec","day")),POS_Time,"&lt;="&amp;($D133-CONVERT(Variables!$C$12+1,"sec","day")),POS_Q,"=5")))</f>
        <v/>
      </c>
      <c r="Z133" s="26" t="str">
        <f>IF($B133="","",IF(6&gt;Variables!$C$11,0,COUNTIFS(POS_Time,"&gt;="&amp;($C133+CONVERT(Variables!$C$12,"sec","day")),POS_Time,"&lt;="&amp;($D133-CONVERT(Variables!$C$12+1,"sec","day")),POS_Q,"=6")))</f>
        <v/>
      </c>
    </row>
    <row r="134" spans="1:26" x14ac:dyDescent="0.25">
      <c r="A134" s="2">
        <v>133</v>
      </c>
      <c r="B134" s="27" t="str">
        <f>IF((ROW()-1)&lt;=RoverStations,'Rover CSV Data'!B134,"")</f>
        <v/>
      </c>
      <c r="C134" s="28" t="str">
        <f>IF($B134="","",DATEVALUE(LEFT('Rover CSV Data'!F134,FIND(" ",'Rover CSV Data'!F134)-1))+TIMEVALUE(MID('Rover CSV Data'!F134,LEN('Rover CSV Data'!F134)-FIND(" ",'Rover CSV Data'!F134),(FIND(" UTC",'Rover CSV Data'!F134))-(LEN('Rover CSV Data'!F134)-FIND(" ",'Rover CSV Data'!F134)))))</f>
        <v/>
      </c>
      <c r="D134" s="28" t="str">
        <f>IF($B134="","",DATEVALUE(LEFT('Rover CSV Data'!G134,FIND(" ",'Rover CSV Data'!G134)-1))+TIMEVALUE(MID('Rover CSV Data'!G134,LEN('Rover CSV Data'!G134)-FIND(" ",'Rover CSV Data'!G134),(FIND(" UTC",'Rover CSV Data'!G134))-(LEN('Rover CSV Data'!G134)-FIND(" ",'Rover CSV Data'!G134)))))</f>
        <v/>
      </c>
      <c r="E134" s="29" t="str">
        <f t="shared" si="2"/>
        <v/>
      </c>
      <c r="F134" s="26" t="str">
        <f>IF($B134="","",'Rover CSV Data'!J134)</f>
        <v/>
      </c>
      <c r="G134" s="26" t="str">
        <f>IF($B134="","",AVERAGEIFS(POS_Lat,POS_Time,"&gt;="&amp;($C134+CONVERT(Variables!$C$12,"sec","day")),POS_Time,"&lt;="&amp;($D134-CONVERT(Variables!$C$12+1,"sec","day")),POS_Q,"&lt;="&amp;Variables!$C$11))</f>
        <v/>
      </c>
      <c r="H134" s="26" t="str">
        <f>IF($B134="","",AVERAGEIFS(POS_Long,POS_Time,"&gt;="&amp;($C134+CONVERT(Variables!$C$12,"sec","day")),POS_Time,"&lt;="&amp;($D134-CONVERT(Variables!$C$12+1,"sec","day")),POS_Q,"&lt;="&amp;Variables!$C$11))</f>
        <v/>
      </c>
      <c r="I134" s="30" t="str">
        <f>IF($B134="","",AVERAGEIFS(POS_elev,POS_Time,"&gt;="&amp;($C134+CONVERT(Variables!$C$12,"sec","day")),POS_Time,"&lt;="&amp;($D134-CONVERT(Variables!$C$12+1,"sec","day")),POS_Q,"&lt;="&amp;Variables!$C$11)-S134)</f>
        <v/>
      </c>
      <c r="J134" s="26" t="str">
        <f>IF($B134="","",'Rover CSV Data'!D134)</f>
        <v/>
      </c>
      <c r="K134" s="26" t="str">
        <f>IF($B134="","",'Rover CSV Data'!C134)</f>
        <v/>
      </c>
      <c r="L134" s="26" t="str">
        <f>IF($B134="","",'Rover CSV Data'!E134)</f>
        <v/>
      </c>
      <c r="M134" s="30" t="str">
        <f>IF($B134="","",AVERAGEIFS(sdn,POS_Time,"&gt;="&amp;($C134+CONVERT(Variables!$C$12,"sec","day")),POS_Time,"&lt;="&amp;($D134-CONVERT(Variables!$C$12+1,"sec","day")),POS_Q,"&lt;="&amp;Variables!$C$11))</f>
        <v/>
      </c>
      <c r="N134" s="31" t="str">
        <f>IF($B134="","",AVERAGEIFS(sde,POS_Time,"&gt;="&amp;($C134+CONVERT(Variables!$C$12,"sec","day")),POS_Time,"&lt;="&amp;($D134-CONVERT(Variables!$C$12+1,"sec","day")),POS_Q,"&lt;="&amp;Variables!$C$11))</f>
        <v/>
      </c>
      <c r="O134" s="31" t="str">
        <f>IF($B134="","",AVERAGEIFS(sdu,POS_Time,"&gt;="&amp;($C134+CONVERT(Variables!$C$12,"sec","day")),POS_Time,"&lt;="&amp;($D134-CONVERT(Variables!$C$12+1,"sec","day")),POS_Q,"&lt;="&amp;Variables!$C$11))</f>
        <v/>
      </c>
      <c r="P134" s="32" t="str">
        <f t="array" ref="P134">IF($B134="","",STDEV(IF(POS_Time&gt;=($C134+CONVERT(Variables!$C$12,"sec","day")),IF(POS_Time&lt;=($D134-CONVERT(Variables!$C$12+1,"sec","day")),IF(POS_Q&lt;=Variables!$C$11,POS_Lat)))))</f>
        <v/>
      </c>
      <c r="Q134" s="32" t="str">
        <f t="array" ref="Q134">IF($B134="","",STDEV(IF(POS_Time&gt;=($C134+CONVERT(Variables!$C$12,"sec","day")),IF(POS_Time&lt;=($D134-CONVERT(Variables!$C$12+1,"sec","day")),IF(POS_Q&lt;=Variables!$C$11,POS_Long)))))</f>
        <v/>
      </c>
      <c r="R134" s="32" t="str">
        <f t="array" ref="R134">IF($B134="","",STDEV(IF(POS_Time&gt;=($C134+CONVERT(Variables!$C$12,"sec","day")),IF(POS_Time&lt;=($D134-CONVERT(Variables!$C$12+1,"sec","day")),IF(POS_Q&lt;=Variables!$C$11,POS_elev)))))</f>
        <v/>
      </c>
      <c r="S134" s="30" t="str">
        <f>IF($B134="","",'Rover CSV Data'!K134)</f>
        <v/>
      </c>
      <c r="T134" s="26" t="str">
        <f>IF($B134="","",COUNTIFS(POS_Time,"&gt;="&amp;($C134+CONVERT(Variables!$C$12,"sec","day")),POS_Time,"&lt;="&amp;($D134-CONVERT(Variables!$C$12+1,"sec","day")),POS_Q,"&lt;="&amp;Variables!$C$11))</f>
        <v/>
      </c>
      <c r="U134" s="26" t="str">
        <f>IF($B134="","",IF(1&gt;Variables!$C$11,0,COUNTIFS(POS_Time,"&gt;="&amp;($C134+CONVERT(Variables!$C$12,"sec","day")),POS_Time,"&lt;="&amp;($D134-CONVERT(Variables!$C$12+1,"sec","day")),POS_Q,"=1")))</f>
        <v/>
      </c>
      <c r="V134" s="26" t="str">
        <f>IF($B134="","",IF(2&gt;Variables!$C$11,0,COUNTIFS(POS_Time,"&gt;="&amp;($C134+CONVERT(Variables!$C$12,"sec","day")),POS_Time,"&lt;="&amp;($D134-CONVERT(Variables!$C$12+1,"sec","day")),POS_Q,"=2")))</f>
        <v/>
      </c>
      <c r="W134" s="26" t="str">
        <f>IF($B134="","",IF(3&gt;Variables!$C$11,0,COUNTIFS(POS_Time,"&gt;="&amp;($C134+CONVERT(Variables!$C$12,"sec","day")),POS_Time,"&lt;="&amp;($D134-CONVERT(Variables!$C$12+1,"sec","day")),POS_Q,"=3")))</f>
        <v/>
      </c>
      <c r="X134" s="26" t="str">
        <f>IF($B134="","",IF(4&gt;Variables!$C$11,0,COUNTIFS(POS_Time,"&gt;="&amp;($C134+CONVERT(Variables!$C$12,"sec","day")),POS_Time,"&lt;="&amp;($D134-CONVERT(Variables!$C$12+1,"sec","day")),POS_Q,"=4")))</f>
        <v/>
      </c>
      <c r="Y134" s="26" t="str">
        <f>IF($B134="","",IF(5&gt;Variables!$C$11,0,COUNTIFS(POS_Time,"&gt;="&amp;($C134+CONVERT(Variables!$C$12,"sec","day")),POS_Time,"&lt;="&amp;($D134-CONVERT(Variables!$C$12+1,"sec","day")),POS_Q,"=5")))</f>
        <v/>
      </c>
      <c r="Z134" s="26" t="str">
        <f>IF($B134="","",IF(6&gt;Variables!$C$11,0,COUNTIFS(POS_Time,"&gt;="&amp;($C134+CONVERT(Variables!$C$12,"sec","day")),POS_Time,"&lt;="&amp;($D134-CONVERT(Variables!$C$12+1,"sec","day")),POS_Q,"=6")))</f>
        <v/>
      </c>
    </row>
    <row r="135" spans="1:26" x14ac:dyDescent="0.25">
      <c r="A135" s="2">
        <v>134</v>
      </c>
      <c r="B135" s="27" t="str">
        <f>IF((ROW()-1)&lt;=RoverStations,'Rover CSV Data'!B135,"")</f>
        <v/>
      </c>
      <c r="C135" s="28" t="str">
        <f>IF($B135="","",DATEVALUE(LEFT('Rover CSV Data'!F135,FIND(" ",'Rover CSV Data'!F135)-1))+TIMEVALUE(MID('Rover CSV Data'!F135,LEN('Rover CSV Data'!F135)-FIND(" ",'Rover CSV Data'!F135),(FIND(" UTC",'Rover CSV Data'!F135))-(LEN('Rover CSV Data'!F135)-FIND(" ",'Rover CSV Data'!F135)))))</f>
        <v/>
      </c>
      <c r="D135" s="28" t="str">
        <f>IF($B135="","",DATEVALUE(LEFT('Rover CSV Data'!G135,FIND(" ",'Rover CSV Data'!G135)-1))+TIMEVALUE(MID('Rover CSV Data'!G135,LEN('Rover CSV Data'!G135)-FIND(" ",'Rover CSV Data'!G135),(FIND(" UTC",'Rover CSV Data'!G135))-(LEN('Rover CSV Data'!G135)-FIND(" ",'Rover CSV Data'!G135)))))</f>
        <v/>
      </c>
      <c r="E135" s="29" t="str">
        <f t="shared" si="2"/>
        <v/>
      </c>
      <c r="F135" s="26" t="str">
        <f>IF($B135="","",'Rover CSV Data'!J135)</f>
        <v/>
      </c>
      <c r="G135" s="26" t="str">
        <f>IF($B135="","",AVERAGEIFS(POS_Lat,POS_Time,"&gt;="&amp;($C135+CONVERT(Variables!$C$12,"sec","day")),POS_Time,"&lt;="&amp;($D135-CONVERT(Variables!$C$12+1,"sec","day")),POS_Q,"&lt;="&amp;Variables!$C$11))</f>
        <v/>
      </c>
      <c r="H135" s="26" t="str">
        <f>IF($B135="","",AVERAGEIFS(POS_Long,POS_Time,"&gt;="&amp;($C135+CONVERT(Variables!$C$12,"sec","day")),POS_Time,"&lt;="&amp;($D135-CONVERT(Variables!$C$12+1,"sec","day")),POS_Q,"&lt;="&amp;Variables!$C$11))</f>
        <v/>
      </c>
      <c r="I135" s="30" t="str">
        <f>IF($B135="","",AVERAGEIFS(POS_elev,POS_Time,"&gt;="&amp;($C135+CONVERT(Variables!$C$12,"sec","day")),POS_Time,"&lt;="&amp;($D135-CONVERT(Variables!$C$12+1,"sec","day")),POS_Q,"&lt;="&amp;Variables!$C$11)-S135)</f>
        <v/>
      </c>
      <c r="J135" s="26" t="str">
        <f>IF($B135="","",'Rover CSV Data'!D135)</f>
        <v/>
      </c>
      <c r="K135" s="26" t="str">
        <f>IF($B135="","",'Rover CSV Data'!C135)</f>
        <v/>
      </c>
      <c r="L135" s="26" t="str">
        <f>IF($B135="","",'Rover CSV Data'!E135)</f>
        <v/>
      </c>
      <c r="M135" s="30" t="str">
        <f>IF($B135="","",AVERAGEIFS(sdn,POS_Time,"&gt;="&amp;($C135+CONVERT(Variables!$C$12,"sec","day")),POS_Time,"&lt;="&amp;($D135-CONVERT(Variables!$C$12+1,"sec","day")),POS_Q,"&lt;="&amp;Variables!$C$11))</f>
        <v/>
      </c>
      <c r="N135" s="31" t="str">
        <f>IF($B135="","",AVERAGEIFS(sde,POS_Time,"&gt;="&amp;($C135+CONVERT(Variables!$C$12,"sec","day")),POS_Time,"&lt;="&amp;($D135-CONVERT(Variables!$C$12+1,"sec","day")),POS_Q,"&lt;="&amp;Variables!$C$11))</f>
        <v/>
      </c>
      <c r="O135" s="31" t="str">
        <f>IF($B135="","",AVERAGEIFS(sdu,POS_Time,"&gt;="&amp;($C135+CONVERT(Variables!$C$12,"sec","day")),POS_Time,"&lt;="&amp;($D135-CONVERT(Variables!$C$12+1,"sec","day")),POS_Q,"&lt;="&amp;Variables!$C$11))</f>
        <v/>
      </c>
      <c r="P135" s="32" t="str">
        <f t="array" ref="P135">IF($B135="","",STDEV(IF(POS_Time&gt;=($C135+CONVERT(Variables!$C$12,"sec","day")),IF(POS_Time&lt;=($D135-CONVERT(Variables!$C$12+1,"sec","day")),IF(POS_Q&lt;=Variables!$C$11,POS_Lat)))))</f>
        <v/>
      </c>
      <c r="Q135" s="32" t="str">
        <f t="array" ref="Q135">IF($B135="","",STDEV(IF(POS_Time&gt;=($C135+CONVERT(Variables!$C$12,"sec","day")),IF(POS_Time&lt;=($D135-CONVERT(Variables!$C$12+1,"sec","day")),IF(POS_Q&lt;=Variables!$C$11,POS_Long)))))</f>
        <v/>
      </c>
      <c r="R135" s="32" t="str">
        <f t="array" ref="R135">IF($B135="","",STDEV(IF(POS_Time&gt;=($C135+CONVERT(Variables!$C$12,"sec","day")),IF(POS_Time&lt;=($D135-CONVERT(Variables!$C$12+1,"sec","day")),IF(POS_Q&lt;=Variables!$C$11,POS_elev)))))</f>
        <v/>
      </c>
      <c r="S135" s="30" t="str">
        <f>IF($B135="","",'Rover CSV Data'!K135)</f>
        <v/>
      </c>
      <c r="T135" s="26" t="str">
        <f>IF($B135="","",COUNTIFS(POS_Time,"&gt;="&amp;($C135+CONVERT(Variables!$C$12,"sec","day")),POS_Time,"&lt;="&amp;($D135-CONVERT(Variables!$C$12+1,"sec","day")),POS_Q,"&lt;="&amp;Variables!$C$11))</f>
        <v/>
      </c>
      <c r="U135" s="26" t="str">
        <f>IF($B135="","",IF(1&gt;Variables!$C$11,0,COUNTIFS(POS_Time,"&gt;="&amp;($C135+CONVERT(Variables!$C$12,"sec","day")),POS_Time,"&lt;="&amp;($D135-CONVERT(Variables!$C$12+1,"sec","day")),POS_Q,"=1")))</f>
        <v/>
      </c>
      <c r="V135" s="26" t="str">
        <f>IF($B135="","",IF(2&gt;Variables!$C$11,0,COUNTIFS(POS_Time,"&gt;="&amp;($C135+CONVERT(Variables!$C$12,"sec","day")),POS_Time,"&lt;="&amp;($D135-CONVERT(Variables!$C$12+1,"sec","day")),POS_Q,"=2")))</f>
        <v/>
      </c>
      <c r="W135" s="26" t="str">
        <f>IF($B135="","",IF(3&gt;Variables!$C$11,0,COUNTIFS(POS_Time,"&gt;="&amp;($C135+CONVERT(Variables!$C$12,"sec","day")),POS_Time,"&lt;="&amp;($D135-CONVERT(Variables!$C$12+1,"sec","day")),POS_Q,"=3")))</f>
        <v/>
      </c>
      <c r="X135" s="26" t="str">
        <f>IF($B135="","",IF(4&gt;Variables!$C$11,0,COUNTIFS(POS_Time,"&gt;="&amp;($C135+CONVERT(Variables!$C$12,"sec","day")),POS_Time,"&lt;="&amp;($D135-CONVERT(Variables!$C$12+1,"sec","day")),POS_Q,"=4")))</f>
        <v/>
      </c>
      <c r="Y135" s="26" t="str">
        <f>IF($B135="","",IF(5&gt;Variables!$C$11,0,COUNTIFS(POS_Time,"&gt;="&amp;($C135+CONVERT(Variables!$C$12,"sec","day")),POS_Time,"&lt;="&amp;($D135-CONVERT(Variables!$C$12+1,"sec","day")),POS_Q,"=5")))</f>
        <v/>
      </c>
      <c r="Z135" s="26" t="str">
        <f>IF($B135="","",IF(6&gt;Variables!$C$11,0,COUNTIFS(POS_Time,"&gt;="&amp;($C135+CONVERT(Variables!$C$12,"sec","day")),POS_Time,"&lt;="&amp;($D135-CONVERT(Variables!$C$12+1,"sec","day")),POS_Q,"=6")))</f>
        <v/>
      </c>
    </row>
    <row r="136" spans="1:26" x14ac:dyDescent="0.25">
      <c r="A136" s="2">
        <v>135</v>
      </c>
      <c r="B136" s="27" t="str">
        <f>IF((ROW()-1)&lt;=RoverStations,'Rover CSV Data'!B136,"")</f>
        <v/>
      </c>
      <c r="C136" s="28" t="str">
        <f>IF($B136="","",DATEVALUE(LEFT('Rover CSV Data'!F136,FIND(" ",'Rover CSV Data'!F136)-1))+TIMEVALUE(MID('Rover CSV Data'!F136,LEN('Rover CSV Data'!F136)-FIND(" ",'Rover CSV Data'!F136),(FIND(" UTC",'Rover CSV Data'!F136))-(LEN('Rover CSV Data'!F136)-FIND(" ",'Rover CSV Data'!F136)))))</f>
        <v/>
      </c>
      <c r="D136" s="28" t="str">
        <f>IF($B136="","",DATEVALUE(LEFT('Rover CSV Data'!G136,FIND(" ",'Rover CSV Data'!G136)-1))+TIMEVALUE(MID('Rover CSV Data'!G136,LEN('Rover CSV Data'!G136)-FIND(" ",'Rover CSV Data'!G136),(FIND(" UTC",'Rover CSV Data'!G136))-(LEN('Rover CSV Data'!G136)-FIND(" ",'Rover CSV Data'!G136)))))</f>
        <v/>
      </c>
      <c r="E136" s="29" t="str">
        <f t="shared" si="2"/>
        <v/>
      </c>
      <c r="F136" s="26" t="str">
        <f>IF($B136="","",'Rover CSV Data'!J136)</f>
        <v/>
      </c>
      <c r="G136" s="26" t="str">
        <f>IF($B136="","",AVERAGEIFS(POS_Lat,POS_Time,"&gt;="&amp;($C136+CONVERT(Variables!$C$12,"sec","day")),POS_Time,"&lt;="&amp;($D136-CONVERT(Variables!$C$12+1,"sec","day")),POS_Q,"&lt;="&amp;Variables!$C$11))</f>
        <v/>
      </c>
      <c r="H136" s="26" t="str">
        <f>IF($B136="","",AVERAGEIFS(POS_Long,POS_Time,"&gt;="&amp;($C136+CONVERT(Variables!$C$12,"sec","day")),POS_Time,"&lt;="&amp;($D136-CONVERT(Variables!$C$12+1,"sec","day")),POS_Q,"&lt;="&amp;Variables!$C$11))</f>
        <v/>
      </c>
      <c r="I136" s="30" t="str">
        <f>IF($B136="","",AVERAGEIFS(POS_elev,POS_Time,"&gt;="&amp;($C136+CONVERT(Variables!$C$12,"sec","day")),POS_Time,"&lt;="&amp;($D136-CONVERT(Variables!$C$12+1,"sec","day")),POS_Q,"&lt;="&amp;Variables!$C$11)-S136)</f>
        <v/>
      </c>
      <c r="J136" s="26" t="str">
        <f>IF($B136="","",'Rover CSV Data'!D136)</f>
        <v/>
      </c>
      <c r="K136" s="26" t="str">
        <f>IF($B136="","",'Rover CSV Data'!C136)</f>
        <v/>
      </c>
      <c r="L136" s="26" t="str">
        <f>IF($B136="","",'Rover CSV Data'!E136)</f>
        <v/>
      </c>
      <c r="M136" s="30" t="str">
        <f>IF($B136="","",AVERAGEIFS(sdn,POS_Time,"&gt;="&amp;($C136+CONVERT(Variables!$C$12,"sec","day")),POS_Time,"&lt;="&amp;($D136-CONVERT(Variables!$C$12+1,"sec","day")),POS_Q,"&lt;="&amp;Variables!$C$11))</f>
        <v/>
      </c>
      <c r="N136" s="31" t="str">
        <f>IF($B136="","",AVERAGEIFS(sde,POS_Time,"&gt;="&amp;($C136+CONVERT(Variables!$C$12,"sec","day")),POS_Time,"&lt;="&amp;($D136-CONVERT(Variables!$C$12+1,"sec","day")),POS_Q,"&lt;="&amp;Variables!$C$11))</f>
        <v/>
      </c>
      <c r="O136" s="31" t="str">
        <f>IF($B136="","",AVERAGEIFS(sdu,POS_Time,"&gt;="&amp;($C136+CONVERT(Variables!$C$12,"sec","day")),POS_Time,"&lt;="&amp;($D136-CONVERT(Variables!$C$12+1,"sec","day")),POS_Q,"&lt;="&amp;Variables!$C$11))</f>
        <v/>
      </c>
      <c r="P136" s="32" t="str">
        <f t="array" ref="P136">IF($B136="","",STDEV(IF(POS_Time&gt;=($C136+CONVERT(Variables!$C$12,"sec","day")),IF(POS_Time&lt;=($D136-CONVERT(Variables!$C$12+1,"sec","day")),IF(POS_Q&lt;=Variables!$C$11,POS_Lat)))))</f>
        <v/>
      </c>
      <c r="Q136" s="32" t="str">
        <f t="array" ref="Q136">IF($B136="","",STDEV(IF(POS_Time&gt;=($C136+CONVERT(Variables!$C$12,"sec","day")),IF(POS_Time&lt;=($D136-CONVERT(Variables!$C$12+1,"sec","day")),IF(POS_Q&lt;=Variables!$C$11,POS_Long)))))</f>
        <v/>
      </c>
      <c r="R136" s="32" t="str">
        <f t="array" ref="R136">IF($B136="","",STDEV(IF(POS_Time&gt;=($C136+CONVERT(Variables!$C$12,"sec","day")),IF(POS_Time&lt;=($D136-CONVERT(Variables!$C$12+1,"sec","day")),IF(POS_Q&lt;=Variables!$C$11,POS_elev)))))</f>
        <v/>
      </c>
      <c r="S136" s="30" t="str">
        <f>IF($B136="","",'Rover CSV Data'!K136)</f>
        <v/>
      </c>
      <c r="T136" s="26" t="str">
        <f>IF($B136="","",COUNTIFS(POS_Time,"&gt;="&amp;($C136+CONVERT(Variables!$C$12,"sec","day")),POS_Time,"&lt;="&amp;($D136-CONVERT(Variables!$C$12+1,"sec","day")),POS_Q,"&lt;="&amp;Variables!$C$11))</f>
        <v/>
      </c>
      <c r="U136" s="26" t="str">
        <f>IF($B136="","",IF(1&gt;Variables!$C$11,0,COUNTIFS(POS_Time,"&gt;="&amp;($C136+CONVERT(Variables!$C$12,"sec","day")),POS_Time,"&lt;="&amp;($D136-CONVERT(Variables!$C$12+1,"sec","day")),POS_Q,"=1")))</f>
        <v/>
      </c>
      <c r="V136" s="26" t="str">
        <f>IF($B136="","",IF(2&gt;Variables!$C$11,0,COUNTIFS(POS_Time,"&gt;="&amp;($C136+CONVERT(Variables!$C$12,"sec","day")),POS_Time,"&lt;="&amp;($D136-CONVERT(Variables!$C$12+1,"sec","day")),POS_Q,"=2")))</f>
        <v/>
      </c>
      <c r="W136" s="26" t="str">
        <f>IF($B136="","",IF(3&gt;Variables!$C$11,0,COUNTIFS(POS_Time,"&gt;="&amp;($C136+CONVERT(Variables!$C$12,"sec","day")),POS_Time,"&lt;="&amp;($D136-CONVERT(Variables!$C$12+1,"sec","day")),POS_Q,"=3")))</f>
        <v/>
      </c>
      <c r="X136" s="26" t="str">
        <f>IF($B136="","",IF(4&gt;Variables!$C$11,0,COUNTIFS(POS_Time,"&gt;="&amp;($C136+CONVERT(Variables!$C$12,"sec","day")),POS_Time,"&lt;="&amp;($D136-CONVERT(Variables!$C$12+1,"sec","day")),POS_Q,"=4")))</f>
        <v/>
      </c>
      <c r="Y136" s="26" t="str">
        <f>IF($B136="","",IF(5&gt;Variables!$C$11,0,COUNTIFS(POS_Time,"&gt;="&amp;($C136+CONVERT(Variables!$C$12,"sec","day")),POS_Time,"&lt;="&amp;($D136-CONVERT(Variables!$C$12+1,"sec","day")),POS_Q,"=5")))</f>
        <v/>
      </c>
      <c r="Z136" s="26" t="str">
        <f>IF($B136="","",IF(6&gt;Variables!$C$11,0,COUNTIFS(POS_Time,"&gt;="&amp;($C136+CONVERT(Variables!$C$12,"sec","day")),POS_Time,"&lt;="&amp;($D136-CONVERT(Variables!$C$12+1,"sec","day")),POS_Q,"=6")))</f>
        <v/>
      </c>
    </row>
    <row r="137" spans="1:26" x14ac:dyDescent="0.25">
      <c r="A137" s="2">
        <v>136</v>
      </c>
      <c r="B137" s="27" t="str">
        <f>IF((ROW()-1)&lt;=RoverStations,'Rover CSV Data'!B137,"")</f>
        <v/>
      </c>
      <c r="C137" s="28" t="str">
        <f>IF($B137="","",DATEVALUE(LEFT('Rover CSV Data'!F137,FIND(" ",'Rover CSV Data'!F137)-1))+TIMEVALUE(MID('Rover CSV Data'!F137,LEN('Rover CSV Data'!F137)-FIND(" ",'Rover CSV Data'!F137),(FIND(" UTC",'Rover CSV Data'!F137))-(LEN('Rover CSV Data'!F137)-FIND(" ",'Rover CSV Data'!F137)))))</f>
        <v/>
      </c>
      <c r="D137" s="28" t="str">
        <f>IF($B137="","",DATEVALUE(LEFT('Rover CSV Data'!G137,FIND(" ",'Rover CSV Data'!G137)-1))+TIMEVALUE(MID('Rover CSV Data'!G137,LEN('Rover CSV Data'!G137)-FIND(" ",'Rover CSV Data'!G137),(FIND(" UTC",'Rover CSV Data'!G137))-(LEN('Rover CSV Data'!G137)-FIND(" ",'Rover CSV Data'!G137)))))</f>
        <v/>
      </c>
      <c r="E137" s="29" t="str">
        <f t="shared" si="2"/>
        <v/>
      </c>
      <c r="F137" s="26" t="str">
        <f>IF($B137="","",'Rover CSV Data'!J137)</f>
        <v/>
      </c>
      <c r="G137" s="26" t="str">
        <f>IF($B137="","",AVERAGEIFS(POS_Lat,POS_Time,"&gt;="&amp;($C137+CONVERT(Variables!$C$12,"sec","day")),POS_Time,"&lt;="&amp;($D137-CONVERT(Variables!$C$12+1,"sec","day")),POS_Q,"&lt;="&amp;Variables!$C$11))</f>
        <v/>
      </c>
      <c r="H137" s="26" t="str">
        <f>IF($B137="","",AVERAGEIFS(POS_Long,POS_Time,"&gt;="&amp;($C137+CONVERT(Variables!$C$12,"sec","day")),POS_Time,"&lt;="&amp;($D137-CONVERT(Variables!$C$12+1,"sec","day")),POS_Q,"&lt;="&amp;Variables!$C$11))</f>
        <v/>
      </c>
      <c r="I137" s="30" t="str">
        <f>IF($B137="","",AVERAGEIFS(POS_elev,POS_Time,"&gt;="&amp;($C137+CONVERT(Variables!$C$12,"sec","day")),POS_Time,"&lt;="&amp;($D137-CONVERT(Variables!$C$12+1,"sec","day")),POS_Q,"&lt;="&amp;Variables!$C$11)-S137)</f>
        <v/>
      </c>
      <c r="J137" s="26" t="str">
        <f>IF($B137="","",'Rover CSV Data'!D137)</f>
        <v/>
      </c>
      <c r="K137" s="26" t="str">
        <f>IF($B137="","",'Rover CSV Data'!C137)</f>
        <v/>
      </c>
      <c r="L137" s="26" t="str">
        <f>IF($B137="","",'Rover CSV Data'!E137)</f>
        <v/>
      </c>
      <c r="M137" s="30" t="str">
        <f>IF($B137="","",AVERAGEIFS(sdn,POS_Time,"&gt;="&amp;($C137+CONVERT(Variables!$C$12,"sec","day")),POS_Time,"&lt;="&amp;($D137-CONVERT(Variables!$C$12+1,"sec","day")),POS_Q,"&lt;="&amp;Variables!$C$11))</f>
        <v/>
      </c>
      <c r="N137" s="31" t="str">
        <f>IF($B137="","",AVERAGEIFS(sde,POS_Time,"&gt;="&amp;($C137+CONVERT(Variables!$C$12,"sec","day")),POS_Time,"&lt;="&amp;($D137-CONVERT(Variables!$C$12+1,"sec","day")),POS_Q,"&lt;="&amp;Variables!$C$11))</f>
        <v/>
      </c>
      <c r="O137" s="31" t="str">
        <f>IF($B137="","",AVERAGEIFS(sdu,POS_Time,"&gt;="&amp;($C137+CONVERT(Variables!$C$12,"sec","day")),POS_Time,"&lt;="&amp;($D137-CONVERT(Variables!$C$12+1,"sec","day")),POS_Q,"&lt;="&amp;Variables!$C$11))</f>
        <v/>
      </c>
      <c r="P137" s="32" t="str">
        <f t="array" ref="P137">IF($B137="","",STDEV(IF(POS_Time&gt;=($C137+CONVERT(Variables!$C$12,"sec","day")),IF(POS_Time&lt;=($D137-CONVERT(Variables!$C$12+1,"sec","day")),IF(POS_Q&lt;=Variables!$C$11,POS_Lat)))))</f>
        <v/>
      </c>
      <c r="Q137" s="32" t="str">
        <f t="array" ref="Q137">IF($B137="","",STDEV(IF(POS_Time&gt;=($C137+CONVERT(Variables!$C$12,"sec","day")),IF(POS_Time&lt;=($D137-CONVERT(Variables!$C$12+1,"sec","day")),IF(POS_Q&lt;=Variables!$C$11,POS_Long)))))</f>
        <v/>
      </c>
      <c r="R137" s="32" t="str">
        <f t="array" ref="R137">IF($B137="","",STDEV(IF(POS_Time&gt;=($C137+CONVERT(Variables!$C$12,"sec","day")),IF(POS_Time&lt;=($D137-CONVERT(Variables!$C$12+1,"sec","day")),IF(POS_Q&lt;=Variables!$C$11,POS_elev)))))</f>
        <v/>
      </c>
      <c r="S137" s="30" t="str">
        <f>IF($B137="","",'Rover CSV Data'!K137)</f>
        <v/>
      </c>
      <c r="T137" s="26" t="str">
        <f>IF($B137="","",COUNTIFS(POS_Time,"&gt;="&amp;($C137+CONVERT(Variables!$C$12,"sec","day")),POS_Time,"&lt;="&amp;($D137-CONVERT(Variables!$C$12+1,"sec","day")),POS_Q,"&lt;="&amp;Variables!$C$11))</f>
        <v/>
      </c>
      <c r="U137" s="26" t="str">
        <f>IF($B137="","",IF(1&gt;Variables!$C$11,0,COUNTIFS(POS_Time,"&gt;="&amp;($C137+CONVERT(Variables!$C$12,"sec","day")),POS_Time,"&lt;="&amp;($D137-CONVERT(Variables!$C$12+1,"sec","day")),POS_Q,"=1")))</f>
        <v/>
      </c>
      <c r="V137" s="26" t="str">
        <f>IF($B137="","",IF(2&gt;Variables!$C$11,0,COUNTIFS(POS_Time,"&gt;="&amp;($C137+CONVERT(Variables!$C$12,"sec","day")),POS_Time,"&lt;="&amp;($D137-CONVERT(Variables!$C$12+1,"sec","day")),POS_Q,"=2")))</f>
        <v/>
      </c>
      <c r="W137" s="26" t="str">
        <f>IF($B137="","",IF(3&gt;Variables!$C$11,0,COUNTIFS(POS_Time,"&gt;="&amp;($C137+CONVERT(Variables!$C$12,"sec","day")),POS_Time,"&lt;="&amp;($D137-CONVERT(Variables!$C$12+1,"sec","day")),POS_Q,"=3")))</f>
        <v/>
      </c>
      <c r="X137" s="26" t="str">
        <f>IF($B137="","",IF(4&gt;Variables!$C$11,0,COUNTIFS(POS_Time,"&gt;="&amp;($C137+CONVERT(Variables!$C$12,"sec","day")),POS_Time,"&lt;="&amp;($D137-CONVERT(Variables!$C$12+1,"sec","day")),POS_Q,"=4")))</f>
        <v/>
      </c>
      <c r="Y137" s="26" t="str">
        <f>IF($B137="","",IF(5&gt;Variables!$C$11,0,COUNTIFS(POS_Time,"&gt;="&amp;($C137+CONVERT(Variables!$C$12,"sec","day")),POS_Time,"&lt;="&amp;($D137-CONVERT(Variables!$C$12+1,"sec","day")),POS_Q,"=5")))</f>
        <v/>
      </c>
      <c r="Z137" s="26" t="str">
        <f>IF($B137="","",IF(6&gt;Variables!$C$11,0,COUNTIFS(POS_Time,"&gt;="&amp;($C137+CONVERT(Variables!$C$12,"sec","day")),POS_Time,"&lt;="&amp;($D137-CONVERT(Variables!$C$12+1,"sec","day")),POS_Q,"=6")))</f>
        <v/>
      </c>
    </row>
    <row r="138" spans="1:26" x14ac:dyDescent="0.25">
      <c r="A138" s="2">
        <v>137</v>
      </c>
      <c r="B138" s="27" t="str">
        <f>IF((ROW()-1)&lt;=RoverStations,'Rover CSV Data'!B138,"")</f>
        <v/>
      </c>
      <c r="C138" s="28" t="str">
        <f>IF($B138="","",DATEVALUE(LEFT('Rover CSV Data'!F138,FIND(" ",'Rover CSV Data'!F138)-1))+TIMEVALUE(MID('Rover CSV Data'!F138,LEN('Rover CSV Data'!F138)-FIND(" ",'Rover CSV Data'!F138),(FIND(" UTC",'Rover CSV Data'!F138))-(LEN('Rover CSV Data'!F138)-FIND(" ",'Rover CSV Data'!F138)))))</f>
        <v/>
      </c>
      <c r="D138" s="28" t="str">
        <f>IF($B138="","",DATEVALUE(LEFT('Rover CSV Data'!G138,FIND(" ",'Rover CSV Data'!G138)-1))+TIMEVALUE(MID('Rover CSV Data'!G138,LEN('Rover CSV Data'!G138)-FIND(" ",'Rover CSV Data'!G138),(FIND(" UTC",'Rover CSV Data'!G138))-(LEN('Rover CSV Data'!G138)-FIND(" ",'Rover CSV Data'!G138)))))</f>
        <v/>
      </c>
      <c r="E138" s="29" t="str">
        <f t="shared" ref="E138:E201" si="3">IF($B138="","",CONVERT(D138-C138,"day","sec"))</f>
        <v/>
      </c>
      <c r="F138" s="26" t="str">
        <f>IF($B138="","",'Rover CSV Data'!J138)</f>
        <v/>
      </c>
      <c r="G138" s="26" t="str">
        <f>IF($B138="","",AVERAGEIFS(POS_Lat,POS_Time,"&gt;="&amp;($C138+CONVERT(Variables!$C$12,"sec","day")),POS_Time,"&lt;="&amp;($D138-CONVERT(Variables!$C$12+1,"sec","day")),POS_Q,"&lt;="&amp;Variables!$C$11))</f>
        <v/>
      </c>
      <c r="H138" s="26" t="str">
        <f>IF($B138="","",AVERAGEIFS(POS_Long,POS_Time,"&gt;="&amp;($C138+CONVERT(Variables!$C$12,"sec","day")),POS_Time,"&lt;="&amp;($D138-CONVERT(Variables!$C$12+1,"sec","day")),POS_Q,"&lt;="&amp;Variables!$C$11))</f>
        <v/>
      </c>
      <c r="I138" s="30" t="str">
        <f>IF($B138="","",AVERAGEIFS(POS_elev,POS_Time,"&gt;="&amp;($C138+CONVERT(Variables!$C$12,"sec","day")),POS_Time,"&lt;="&amp;($D138-CONVERT(Variables!$C$12+1,"sec","day")),POS_Q,"&lt;="&amp;Variables!$C$11)-S138)</f>
        <v/>
      </c>
      <c r="J138" s="26" t="str">
        <f>IF($B138="","",'Rover CSV Data'!D138)</f>
        <v/>
      </c>
      <c r="K138" s="26" t="str">
        <f>IF($B138="","",'Rover CSV Data'!C138)</f>
        <v/>
      </c>
      <c r="L138" s="26" t="str">
        <f>IF($B138="","",'Rover CSV Data'!E138)</f>
        <v/>
      </c>
      <c r="M138" s="30" t="str">
        <f>IF($B138="","",AVERAGEIFS(sdn,POS_Time,"&gt;="&amp;($C138+CONVERT(Variables!$C$12,"sec","day")),POS_Time,"&lt;="&amp;($D138-CONVERT(Variables!$C$12+1,"sec","day")),POS_Q,"&lt;="&amp;Variables!$C$11))</f>
        <v/>
      </c>
      <c r="N138" s="31" t="str">
        <f>IF($B138="","",AVERAGEIFS(sde,POS_Time,"&gt;="&amp;($C138+CONVERT(Variables!$C$12,"sec","day")),POS_Time,"&lt;="&amp;($D138-CONVERT(Variables!$C$12+1,"sec","day")),POS_Q,"&lt;="&amp;Variables!$C$11))</f>
        <v/>
      </c>
      <c r="O138" s="31" t="str">
        <f>IF($B138="","",AVERAGEIFS(sdu,POS_Time,"&gt;="&amp;($C138+CONVERT(Variables!$C$12,"sec","day")),POS_Time,"&lt;="&amp;($D138-CONVERT(Variables!$C$12+1,"sec","day")),POS_Q,"&lt;="&amp;Variables!$C$11))</f>
        <v/>
      </c>
      <c r="P138" s="32" t="str">
        <f t="array" ref="P138">IF($B138="","",STDEV(IF(POS_Time&gt;=($C138+CONVERT(Variables!$C$12,"sec","day")),IF(POS_Time&lt;=($D138-CONVERT(Variables!$C$12+1,"sec","day")),IF(POS_Q&lt;=Variables!$C$11,POS_Lat)))))</f>
        <v/>
      </c>
      <c r="Q138" s="32" t="str">
        <f t="array" ref="Q138">IF($B138="","",STDEV(IF(POS_Time&gt;=($C138+CONVERT(Variables!$C$12,"sec","day")),IF(POS_Time&lt;=($D138-CONVERT(Variables!$C$12+1,"sec","day")),IF(POS_Q&lt;=Variables!$C$11,POS_Long)))))</f>
        <v/>
      </c>
      <c r="R138" s="32" t="str">
        <f t="array" ref="R138">IF($B138="","",STDEV(IF(POS_Time&gt;=($C138+CONVERT(Variables!$C$12,"sec","day")),IF(POS_Time&lt;=($D138-CONVERT(Variables!$C$12+1,"sec","day")),IF(POS_Q&lt;=Variables!$C$11,POS_elev)))))</f>
        <v/>
      </c>
      <c r="S138" s="30" t="str">
        <f>IF($B138="","",'Rover CSV Data'!K138)</f>
        <v/>
      </c>
      <c r="T138" s="26" t="str">
        <f>IF($B138="","",COUNTIFS(POS_Time,"&gt;="&amp;($C138+CONVERT(Variables!$C$12,"sec","day")),POS_Time,"&lt;="&amp;($D138-CONVERT(Variables!$C$12+1,"sec","day")),POS_Q,"&lt;="&amp;Variables!$C$11))</f>
        <v/>
      </c>
      <c r="U138" s="26" t="str">
        <f>IF($B138="","",IF(1&gt;Variables!$C$11,0,COUNTIFS(POS_Time,"&gt;="&amp;($C138+CONVERT(Variables!$C$12,"sec","day")),POS_Time,"&lt;="&amp;($D138-CONVERT(Variables!$C$12+1,"sec","day")),POS_Q,"=1")))</f>
        <v/>
      </c>
      <c r="V138" s="26" t="str">
        <f>IF($B138="","",IF(2&gt;Variables!$C$11,0,COUNTIFS(POS_Time,"&gt;="&amp;($C138+CONVERT(Variables!$C$12,"sec","day")),POS_Time,"&lt;="&amp;($D138-CONVERT(Variables!$C$12+1,"sec","day")),POS_Q,"=2")))</f>
        <v/>
      </c>
      <c r="W138" s="26" t="str">
        <f>IF($B138="","",IF(3&gt;Variables!$C$11,0,COUNTIFS(POS_Time,"&gt;="&amp;($C138+CONVERT(Variables!$C$12,"sec","day")),POS_Time,"&lt;="&amp;($D138-CONVERT(Variables!$C$12+1,"sec","day")),POS_Q,"=3")))</f>
        <v/>
      </c>
      <c r="X138" s="26" t="str">
        <f>IF($B138="","",IF(4&gt;Variables!$C$11,0,COUNTIFS(POS_Time,"&gt;="&amp;($C138+CONVERT(Variables!$C$12,"sec","day")),POS_Time,"&lt;="&amp;($D138-CONVERT(Variables!$C$12+1,"sec","day")),POS_Q,"=4")))</f>
        <v/>
      </c>
      <c r="Y138" s="26" t="str">
        <f>IF($B138="","",IF(5&gt;Variables!$C$11,0,COUNTIFS(POS_Time,"&gt;="&amp;($C138+CONVERT(Variables!$C$12,"sec","day")),POS_Time,"&lt;="&amp;($D138-CONVERT(Variables!$C$12+1,"sec","day")),POS_Q,"=5")))</f>
        <v/>
      </c>
      <c r="Z138" s="26" t="str">
        <f>IF($B138="","",IF(6&gt;Variables!$C$11,0,COUNTIFS(POS_Time,"&gt;="&amp;($C138+CONVERT(Variables!$C$12,"sec","day")),POS_Time,"&lt;="&amp;($D138-CONVERT(Variables!$C$12+1,"sec","day")),POS_Q,"=6")))</f>
        <v/>
      </c>
    </row>
    <row r="139" spans="1:26" x14ac:dyDescent="0.25">
      <c r="A139" s="2">
        <v>138</v>
      </c>
      <c r="B139" s="27" t="str">
        <f>IF((ROW()-1)&lt;=RoverStations,'Rover CSV Data'!B139,"")</f>
        <v/>
      </c>
      <c r="C139" s="28" t="str">
        <f>IF($B139="","",DATEVALUE(LEFT('Rover CSV Data'!F139,FIND(" ",'Rover CSV Data'!F139)-1))+TIMEVALUE(MID('Rover CSV Data'!F139,LEN('Rover CSV Data'!F139)-FIND(" ",'Rover CSV Data'!F139),(FIND(" UTC",'Rover CSV Data'!F139))-(LEN('Rover CSV Data'!F139)-FIND(" ",'Rover CSV Data'!F139)))))</f>
        <v/>
      </c>
      <c r="D139" s="28" t="str">
        <f>IF($B139="","",DATEVALUE(LEFT('Rover CSV Data'!G139,FIND(" ",'Rover CSV Data'!G139)-1))+TIMEVALUE(MID('Rover CSV Data'!G139,LEN('Rover CSV Data'!G139)-FIND(" ",'Rover CSV Data'!G139),(FIND(" UTC",'Rover CSV Data'!G139))-(LEN('Rover CSV Data'!G139)-FIND(" ",'Rover CSV Data'!G139)))))</f>
        <v/>
      </c>
      <c r="E139" s="29" t="str">
        <f t="shared" si="3"/>
        <v/>
      </c>
      <c r="F139" s="26" t="str">
        <f>IF($B139="","",'Rover CSV Data'!J139)</f>
        <v/>
      </c>
      <c r="G139" s="26" t="str">
        <f>IF($B139="","",AVERAGEIFS(POS_Lat,POS_Time,"&gt;="&amp;($C139+CONVERT(Variables!$C$12,"sec","day")),POS_Time,"&lt;="&amp;($D139-CONVERT(Variables!$C$12+1,"sec","day")),POS_Q,"&lt;="&amp;Variables!$C$11))</f>
        <v/>
      </c>
      <c r="H139" s="26" t="str">
        <f>IF($B139="","",AVERAGEIFS(POS_Long,POS_Time,"&gt;="&amp;($C139+CONVERT(Variables!$C$12,"sec","day")),POS_Time,"&lt;="&amp;($D139-CONVERT(Variables!$C$12+1,"sec","day")),POS_Q,"&lt;="&amp;Variables!$C$11))</f>
        <v/>
      </c>
      <c r="I139" s="30" t="str">
        <f>IF($B139="","",AVERAGEIFS(POS_elev,POS_Time,"&gt;="&amp;($C139+CONVERT(Variables!$C$12,"sec","day")),POS_Time,"&lt;="&amp;($D139-CONVERT(Variables!$C$12+1,"sec","day")),POS_Q,"&lt;="&amp;Variables!$C$11)-S139)</f>
        <v/>
      </c>
      <c r="J139" s="26" t="str">
        <f>IF($B139="","",'Rover CSV Data'!D139)</f>
        <v/>
      </c>
      <c r="K139" s="26" t="str">
        <f>IF($B139="","",'Rover CSV Data'!C139)</f>
        <v/>
      </c>
      <c r="L139" s="26" t="str">
        <f>IF($B139="","",'Rover CSV Data'!E139)</f>
        <v/>
      </c>
      <c r="M139" s="30" t="str">
        <f>IF($B139="","",AVERAGEIFS(sdn,POS_Time,"&gt;="&amp;($C139+CONVERT(Variables!$C$12,"sec","day")),POS_Time,"&lt;="&amp;($D139-CONVERT(Variables!$C$12+1,"sec","day")),POS_Q,"&lt;="&amp;Variables!$C$11))</f>
        <v/>
      </c>
      <c r="N139" s="31" t="str">
        <f>IF($B139="","",AVERAGEIFS(sde,POS_Time,"&gt;="&amp;($C139+CONVERT(Variables!$C$12,"sec","day")),POS_Time,"&lt;="&amp;($D139-CONVERT(Variables!$C$12+1,"sec","day")),POS_Q,"&lt;="&amp;Variables!$C$11))</f>
        <v/>
      </c>
      <c r="O139" s="31" t="str">
        <f>IF($B139="","",AVERAGEIFS(sdu,POS_Time,"&gt;="&amp;($C139+CONVERT(Variables!$C$12,"sec","day")),POS_Time,"&lt;="&amp;($D139-CONVERT(Variables!$C$12+1,"sec","day")),POS_Q,"&lt;="&amp;Variables!$C$11))</f>
        <v/>
      </c>
      <c r="P139" s="32" t="str">
        <f t="array" ref="P139">IF($B139="","",STDEV(IF(POS_Time&gt;=($C139+CONVERT(Variables!$C$12,"sec","day")),IF(POS_Time&lt;=($D139-CONVERT(Variables!$C$12+1,"sec","day")),IF(POS_Q&lt;=Variables!$C$11,POS_Lat)))))</f>
        <v/>
      </c>
      <c r="Q139" s="32" t="str">
        <f t="array" ref="Q139">IF($B139="","",STDEV(IF(POS_Time&gt;=($C139+CONVERT(Variables!$C$12,"sec","day")),IF(POS_Time&lt;=($D139-CONVERT(Variables!$C$12+1,"sec","day")),IF(POS_Q&lt;=Variables!$C$11,POS_Long)))))</f>
        <v/>
      </c>
      <c r="R139" s="32" t="str">
        <f t="array" ref="R139">IF($B139="","",STDEV(IF(POS_Time&gt;=($C139+CONVERT(Variables!$C$12,"sec","day")),IF(POS_Time&lt;=($D139-CONVERT(Variables!$C$12+1,"sec","day")),IF(POS_Q&lt;=Variables!$C$11,POS_elev)))))</f>
        <v/>
      </c>
      <c r="S139" s="30" t="str">
        <f>IF($B139="","",'Rover CSV Data'!K139)</f>
        <v/>
      </c>
      <c r="T139" s="26" t="str">
        <f>IF($B139="","",COUNTIFS(POS_Time,"&gt;="&amp;($C139+CONVERT(Variables!$C$12,"sec","day")),POS_Time,"&lt;="&amp;($D139-CONVERT(Variables!$C$12+1,"sec","day")),POS_Q,"&lt;="&amp;Variables!$C$11))</f>
        <v/>
      </c>
      <c r="U139" s="26" t="str">
        <f>IF($B139="","",IF(1&gt;Variables!$C$11,0,COUNTIFS(POS_Time,"&gt;="&amp;($C139+CONVERT(Variables!$C$12,"sec","day")),POS_Time,"&lt;="&amp;($D139-CONVERT(Variables!$C$12+1,"sec","day")),POS_Q,"=1")))</f>
        <v/>
      </c>
      <c r="V139" s="26" t="str">
        <f>IF($B139="","",IF(2&gt;Variables!$C$11,0,COUNTIFS(POS_Time,"&gt;="&amp;($C139+CONVERT(Variables!$C$12,"sec","day")),POS_Time,"&lt;="&amp;($D139-CONVERT(Variables!$C$12+1,"sec","day")),POS_Q,"=2")))</f>
        <v/>
      </c>
      <c r="W139" s="26" t="str">
        <f>IF($B139="","",IF(3&gt;Variables!$C$11,0,COUNTIFS(POS_Time,"&gt;="&amp;($C139+CONVERT(Variables!$C$12,"sec","day")),POS_Time,"&lt;="&amp;($D139-CONVERT(Variables!$C$12+1,"sec","day")),POS_Q,"=3")))</f>
        <v/>
      </c>
      <c r="X139" s="26" t="str">
        <f>IF($B139="","",IF(4&gt;Variables!$C$11,0,COUNTIFS(POS_Time,"&gt;="&amp;($C139+CONVERT(Variables!$C$12,"sec","day")),POS_Time,"&lt;="&amp;($D139-CONVERT(Variables!$C$12+1,"sec","day")),POS_Q,"=4")))</f>
        <v/>
      </c>
      <c r="Y139" s="26" t="str">
        <f>IF($B139="","",IF(5&gt;Variables!$C$11,0,COUNTIFS(POS_Time,"&gt;="&amp;($C139+CONVERT(Variables!$C$12,"sec","day")),POS_Time,"&lt;="&amp;($D139-CONVERT(Variables!$C$12+1,"sec","day")),POS_Q,"=5")))</f>
        <v/>
      </c>
      <c r="Z139" s="26" t="str">
        <f>IF($B139="","",IF(6&gt;Variables!$C$11,0,COUNTIFS(POS_Time,"&gt;="&amp;($C139+CONVERT(Variables!$C$12,"sec","day")),POS_Time,"&lt;="&amp;($D139-CONVERT(Variables!$C$12+1,"sec","day")),POS_Q,"=6")))</f>
        <v/>
      </c>
    </row>
    <row r="140" spans="1:26" x14ac:dyDescent="0.25">
      <c r="A140" s="2">
        <v>139</v>
      </c>
      <c r="B140" s="27" t="str">
        <f>IF((ROW()-1)&lt;=RoverStations,'Rover CSV Data'!B140,"")</f>
        <v/>
      </c>
      <c r="C140" s="28" t="str">
        <f>IF($B140="","",DATEVALUE(LEFT('Rover CSV Data'!F140,FIND(" ",'Rover CSV Data'!F140)-1))+TIMEVALUE(MID('Rover CSV Data'!F140,LEN('Rover CSV Data'!F140)-FIND(" ",'Rover CSV Data'!F140),(FIND(" UTC",'Rover CSV Data'!F140))-(LEN('Rover CSV Data'!F140)-FIND(" ",'Rover CSV Data'!F140)))))</f>
        <v/>
      </c>
      <c r="D140" s="28" t="str">
        <f>IF($B140="","",DATEVALUE(LEFT('Rover CSV Data'!G140,FIND(" ",'Rover CSV Data'!G140)-1))+TIMEVALUE(MID('Rover CSV Data'!G140,LEN('Rover CSV Data'!G140)-FIND(" ",'Rover CSV Data'!G140),(FIND(" UTC",'Rover CSV Data'!G140))-(LEN('Rover CSV Data'!G140)-FIND(" ",'Rover CSV Data'!G140)))))</f>
        <v/>
      </c>
      <c r="E140" s="29" t="str">
        <f t="shared" si="3"/>
        <v/>
      </c>
      <c r="F140" s="26" t="str">
        <f>IF($B140="","",'Rover CSV Data'!J140)</f>
        <v/>
      </c>
      <c r="G140" s="26" t="str">
        <f>IF($B140="","",AVERAGEIFS(POS_Lat,POS_Time,"&gt;="&amp;($C140+CONVERT(Variables!$C$12,"sec","day")),POS_Time,"&lt;="&amp;($D140-CONVERT(Variables!$C$12+1,"sec","day")),POS_Q,"&lt;="&amp;Variables!$C$11))</f>
        <v/>
      </c>
      <c r="H140" s="26" t="str">
        <f>IF($B140="","",AVERAGEIFS(POS_Long,POS_Time,"&gt;="&amp;($C140+CONVERT(Variables!$C$12,"sec","day")),POS_Time,"&lt;="&amp;($D140-CONVERT(Variables!$C$12+1,"sec","day")),POS_Q,"&lt;="&amp;Variables!$C$11))</f>
        <v/>
      </c>
      <c r="I140" s="30" t="str">
        <f>IF($B140="","",AVERAGEIFS(POS_elev,POS_Time,"&gt;="&amp;($C140+CONVERT(Variables!$C$12,"sec","day")),POS_Time,"&lt;="&amp;($D140-CONVERT(Variables!$C$12+1,"sec","day")),POS_Q,"&lt;="&amp;Variables!$C$11)-S140)</f>
        <v/>
      </c>
      <c r="J140" s="26" t="str">
        <f>IF($B140="","",'Rover CSV Data'!D140)</f>
        <v/>
      </c>
      <c r="K140" s="26" t="str">
        <f>IF($B140="","",'Rover CSV Data'!C140)</f>
        <v/>
      </c>
      <c r="L140" s="26" t="str">
        <f>IF($B140="","",'Rover CSV Data'!E140)</f>
        <v/>
      </c>
      <c r="M140" s="30" t="str">
        <f>IF($B140="","",AVERAGEIFS(sdn,POS_Time,"&gt;="&amp;($C140+CONVERT(Variables!$C$12,"sec","day")),POS_Time,"&lt;="&amp;($D140-CONVERT(Variables!$C$12+1,"sec","day")),POS_Q,"&lt;="&amp;Variables!$C$11))</f>
        <v/>
      </c>
      <c r="N140" s="31" t="str">
        <f>IF($B140="","",AVERAGEIFS(sde,POS_Time,"&gt;="&amp;($C140+CONVERT(Variables!$C$12,"sec","day")),POS_Time,"&lt;="&amp;($D140-CONVERT(Variables!$C$12+1,"sec","day")),POS_Q,"&lt;="&amp;Variables!$C$11))</f>
        <v/>
      </c>
      <c r="O140" s="31" t="str">
        <f>IF($B140="","",AVERAGEIFS(sdu,POS_Time,"&gt;="&amp;($C140+CONVERT(Variables!$C$12,"sec","day")),POS_Time,"&lt;="&amp;($D140-CONVERT(Variables!$C$12+1,"sec","day")),POS_Q,"&lt;="&amp;Variables!$C$11))</f>
        <v/>
      </c>
      <c r="P140" s="32" t="str">
        <f t="array" ref="P140">IF($B140="","",STDEV(IF(POS_Time&gt;=($C140+CONVERT(Variables!$C$12,"sec","day")),IF(POS_Time&lt;=($D140-CONVERT(Variables!$C$12+1,"sec","day")),IF(POS_Q&lt;=Variables!$C$11,POS_Lat)))))</f>
        <v/>
      </c>
      <c r="Q140" s="32" t="str">
        <f t="array" ref="Q140">IF($B140="","",STDEV(IF(POS_Time&gt;=($C140+CONVERT(Variables!$C$12,"sec","day")),IF(POS_Time&lt;=($D140-CONVERT(Variables!$C$12+1,"sec","day")),IF(POS_Q&lt;=Variables!$C$11,POS_Long)))))</f>
        <v/>
      </c>
      <c r="R140" s="32" t="str">
        <f t="array" ref="R140">IF($B140="","",STDEV(IF(POS_Time&gt;=($C140+CONVERT(Variables!$C$12,"sec","day")),IF(POS_Time&lt;=($D140-CONVERT(Variables!$C$12+1,"sec","day")),IF(POS_Q&lt;=Variables!$C$11,POS_elev)))))</f>
        <v/>
      </c>
      <c r="S140" s="30" t="str">
        <f>IF($B140="","",'Rover CSV Data'!K140)</f>
        <v/>
      </c>
      <c r="T140" s="26" t="str">
        <f>IF($B140="","",COUNTIFS(POS_Time,"&gt;="&amp;($C140+CONVERT(Variables!$C$12,"sec","day")),POS_Time,"&lt;="&amp;($D140-CONVERT(Variables!$C$12+1,"sec","day")),POS_Q,"&lt;="&amp;Variables!$C$11))</f>
        <v/>
      </c>
      <c r="U140" s="26" t="str">
        <f>IF($B140="","",IF(1&gt;Variables!$C$11,0,COUNTIFS(POS_Time,"&gt;="&amp;($C140+CONVERT(Variables!$C$12,"sec","day")),POS_Time,"&lt;="&amp;($D140-CONVERT(Variables!$C$12+1,"sec","day")),POS_Q,"=1")))</f>
        <v/>
      </c>
      <c r="V140" s="26" t="str">
        <f>IF($B140="","",IF(2&gt;Variables!$C$11,0,COUNTIFS(POS_Time,"&gt;="&amp;($C140+CONVERT(Variables!$C$12,"sec","day")),POS_Time,"&lt;="&amp;($D140-CONVERT(Variables!$C$12+1,"sec","day")),POS_Q,"=2")))</f>
        <v/>
      </c>
      <c r="W140" s="26" t="str">
        <f>IF($B140="","",IF(3&gt;Variables!$C$11,0,COUNTIFS(POS_Time,"&gt;="&amp;($C140+CONVERT(Variables!$C$12,"sec","day")),POS_Time,"&lt;="&amp;($D140-CONVERT(Variables!$C$12+1,"sec","day")),POS_Q,"=3")))</f>
        <v/>
      </c>
      <c r="X140" s="26" t="str">
        <f>IF($B140="","",IF(4&gt;Variables!$C$11,0,COUNTIFS(POS_Time,"&gt;="&amp;($C140+CONVERT(Variables!$C$12,"sec","day")),POS_Time,"&lt;="&amp;($D140-CONVERT(Variables!$C$12+1,"sec","day")),POS_Q,"=4")))</f>
        <v/>
      </c>
      <c r="Y140" s="26" t="str">
        <f>IF($B140="","",IF(5&gt;Variables!$C$11,0,COUNTIFS(POS_Time,"&gt;="&amp;($C140+CONVERT(Variables!$C$12,"sec","day")),POS_Time,"&lt;="&amp;($D140-CONVERT(Variables!$C$12+1,"sec","day")),POS_Q,"=5")))</f>
        <v/>
      </c>
      <c r="Z140" s="26" t="str">
        <f>IF($B140="","",IF(6&gt;Variables!$C$11,0,COUNTIFS(POS_Time,"&gt;="&amp;($C140+CONVERT(Variables!$C$12,"sec","day")),POS_Time,"&lt;="&amp;($D140-CONVERT(Variables!$C$12+1,"sec","day")),POS_Q,"=6")))</f>
        <v/>
      </c>
    </row>
    <row r="141" spans="1:26" x14ac:dyDescent="0.25">
      <c r="A141" s="2">
        <v>140</v>
      </c>
      <c r="B141" s="27" t="str">
        <f>IF((ROW()-1)&lt;=RoverStations,'Rover CSV Data'!B141,"")</f>
        <v/>
      </c>
      <c r="C141" s="28" t="str">
        <f>IF($B141="","",DATEVALUE(LEFT('Rover CSV Data'!F141,FIND(" ",'Rover CSV Data'!F141)-1))+TIMEVALUE(MID('Rover CSV Data'!F141,LEN('Rover CSV Data'!F141)-FIND(" ",'Rover CSV Data'!F141),(FIND(" UTC",'Rover CSV Data'!F141))-(LEN('Rover CSV Data'!F141)-FIND(" ",'Rover CSV Data'!F141)))))</f>
        <v/>
      </c>
      <c r="D141" s="28" t="str">
        <f>IF($B141="","",DATEVALUE(LEFT('Rover CSV Data'!G141,FIND(" ",'Rover CSV Data'!G141)-1))+TIMEVALUE(MID('Rover CSV Data'!G141,LEN('Rover CSV Data'!G141)-FIND(" ",'Rover CSV Data'!G141),(FIND(" UTC",'Rover CSV Data'!G141))-(LEN('Rover CSV Data'!G141)-FIND(" ",'Rover CSV Data'!G141)))))</f>
        <v/>
      </c>
      <c r="E141" s="29" t="str">
        <f t="shared" si="3"/>
        <v/>
      </c>
      <c r="F141" s="26" t="str">
        <f>IF($B141="","",'Rover CSV Data'!J141)</f>
        <v/>
      </c>
      <c r="G141" s="26" t="str">
        <f>IF($B141="","",AVERAGEIFS(POS_Lat,POS_Time,"&gt;="&amp;($C141+CONVERT(Variables!$C$12,"sec","day")),POS_Time,"&lt;="&amp;($D141-CONVERT(Variables!$C$12+1,"sec","day")),POS_Q,"&lt;="&amp;Variables!$C$11))</f>
        <v/>
      </c>
      <c r="H141" s="26" t="str">
        <f>IF($B141="","",AVERAGEIFS(POS_Long,POS_Time,"&gt;="&amp;($C141+CONVERT(Variables!$C$12,"sec","day")),POS_Time,"&lt;="&amp;($D141-CONVERT(Variables!$C$12+1,"sec","day")),POS_Q,"&lt;="&amp;Variables!$C$11))</f>
        <v/>
      </c>
      <c r="I141" s="30" t="str">
        <f>IF($B141="","",AVERAGEIFS(POS_elev,POS_Time,"&gt;="&amp;($C141+CONVERT(Variables!$C$12,"sec","day")),POS_Time,"&lt;="&amp;($D141-CONVERT(Variables!$C$12+1,"sec","day")),POS_Q,"&lt;="&amp;Variables!$C$11)-S141)</f>
        <v/>
      </c>
      <c r="J141" s="26" t="str">
        <f>IF($B141="","",'Rover CSV Data'!D141)</f>
        <v/>
      </c>
      <c r="K141" s="26" t="str">
        <f>IF($B141="","",'Rover CSV Data'!C141)</f>
        <v/>
      </c>
      <c r="L141" s="26" t="str">
        <f>IF($B141="","",'Rover CSV Data'!E141)</f>
        <v/>
      </c>
      <c r="M141" s="30" t="str">
        <f>IF($B141="","",AVERAGEIFS(sdn,POS_Time,"&gt;="&amp;($C141+CONVERT(Variables!$C$12,"sec","day")),POS_Time,"&lt;="&amp;($D141-CONVERT(Variables!$C$12+1,"sec","day")),POS_Q,"&lt;="&amp;Variables!$C$11))</f>
        <v/>
      </c>
      <c r="N141" s="31" t="str">
        <f>IF($B141="","",AVERAGEIFS(sde,POS_Time,"&gt;="&amp;($C141+CONVERT(Variables!$C$12,"sec","day")),POS_Time,"&lt;="&amp;($D141-CONVERT(Variables!$C$12+1,"sec","day")),POS_Q,"&lt;="&amp;Variables!$C$11))</f>
        <v/>
      </c>
      <c r="O141" s="31" t="str">
        <f>IF($B141="","",AVERAGEIFS(sdu,POS_Time,"&gt;="&amp;($C141+CONVERT(Variables!$C$12,"sec","day")),POS_Time,"&lt;="&amp;($D141-CONVERT(Variables!$C$12+1,"sec","day")),POS_Q,"&lt;="&amp;Variables!$C$11))</f>
        <v/>
      </c>
      <c r="P141" s="32" t="str">
        <f t="array" ref="P141">IF($B141="","",STDEV(IF(POS_Time&gt;=($C141+CONVERT(Variables!$C$12,"sec","day")),IF(POS_Time&lt;=($D141-CONVERT(Variables!$C$12+1,"sec","day")),IF(POS_Q&lt;=Variables!$C$11,POS_Lat)))))</f>
        <v/>
      </c>
      <c r="Q141" s="32" t="str">
        <f t="array" ref="Q141">IF($B141="","",STDEV(IF(POS_Time&gt;=($C141+CONVERT(Variables!$C$12,"sec","day")),IF(POS_Time&lt;=($D141-CONVERT(Variables!$C$12+1,"sec","day")),IF(POS_Q&lt;=Variables!$C$11,POS_Long)))))</f>
        <v/>
      </c>
      <c r="R141" s="32" t="str">
        <f t="array" ref="R141">IF($B141="","",STDEV(IF(POS_Time&gt;=($C141+CONVERT(Variables!$C$12,"sec","day")),IF(POS_Time&lt;=($D141-CONVERT(Variables!$C$12+1,"sec","day")),IF(POS_Q&lt;=Variables!$C$11,POS_elev)))))</f>
        <v/>
      </c>
      <c r="S141" s="30" t="str">
        <f>IF($B141="","",'Rover CSV Data'!K141)</f>
        <v/>
      </c>
      <c r="T141" s="26" t="str">
        <f>IF($B141="","",COUNTIFS(POS_Time,"&gt;="&amp;($C141+CONVERT(Variables!$C$12,"sec","day")),POS_Time,"&lt;="&amp;($D141-CONVERT(Variables!$C$12+1,"sec","day")),POS_Q,"&lt;="&amp;Variables!$C$11))</f>
        <v/>
      </c>
      <c r="U141" s="26" t="str">
        <f>IF($B141="","",IF(1&gt;Variables!$C$11,0,COUNTIFS(POS_Time,"&gt;="&amp;($C141+CONVERT(Variables!$C$12,"sec","day")),POS_Time,"&lt;="&amp;($D141-CONVERT(Variables!$C$12+1,"sec","day")),POS_Q,"=1")))</f>
        <v/>
      </c>
      <c r="V141" s="26" t="str">
        <f>IF($B141="","",IF(2&gt;Variables!$C$11,0,COUNTIFS(POS_Time,"&gt;="&amp;($C141+CONVERT(Variables!$C$12,"sec","day")),POS_Time,"&lt;="&amp;($D141-CONVERT(Variables!$C$12+1,"sec","day")),POS_Q,"=2")))</f>
        <v/>
      </c>
      <c r="W141" s="26" t="str">
        <f>IF($B141="","",IF(3&gt;Variables!$C$11,0,COUNTIFS(POS_Time,"&gt;="&amp;($C141+CONVERT(Variables!$C$12,"sec","day")),POS_Time,"&lt;="&amp;($D141-CONVERT(Variables!$C$12+1,"sec","day")),POS_Q,"=3")))</f>
        <v/>
      </c>
      <c r="X141" s="26" t="str">
        <f>IF($B141="","",IF(4&gt;Variables!$C$11,0,COUNTIFS(POS_Time,"&gt;="&amp;($C141+CONVERT(Variables!$C$12,"sec","day")),POS_Time,"&lt;="&amp;($D141-CONVERT(Variables!$C$12+1,"sec","day")),POS_Q,"=4")))</f>
        <v/>
      </c>
      <c r="Y141" s="26" t="str">
        <f>IF($B141="","",IF(5&gt;Variables!$C$11,0,COUNTIFS(POS_Time,"&gt;="&amp;($C141+CONVERT(Variables!$C$12,"sec","day")),POS_Time,"&lt;="&amp;($D141-CONVERT(Variables!$C$12+1,"sec","day")),POS_Q,"=5")))</f>
        <v/>
      </c>
      <c r="Z141" s="26" t="str">
        <f>IF($B141="","",IF(6&gt;Variables!$C$11,0,COUNTIFS(POS_Time,"&gt;="&amp;($C141+CONVERT(Variables!$C$12,"sec","day")),POS_Time,"&lt;="&amp;($D141-CONVERT(Variables!$C$12+1,"sec","day")),POS_Q,"=6")))</f>
        <v/>
      </c>
    </row>
    <row r="142" spans="1:26" x14ac:dyDescent="0.25">
      <c r="A142" s="2">
        <v>141</v>
      </c>
      <c r="B142" s="27" t="str">
        <f>IF((ROW()-1)&lt;=RoverStations,'Rover CSV Data'!B142,"")</f>
        <v/>
      </c>
      <c r="C142" s="28" t="str">
        <f>IF($B142="","",DATEVALUE(LEFT('Rover CSV Data'!F142,FIND(" ",'Rover CSV Data'!F142)-1))+TIMEVALUE(MID('Rover CSV Data'!F142,LEN('Rover CSV Data'!F142)-FIND(" ",'Rover CSV Data'!F142),(FIND(" UTC",'Rover CSV Data'!F142))-(LEN('Rover CSV Data'!F142)-FIND(" ",'Rover CSV Data'!F142)))))</f>
        <v/>
      </c>
      <c r="D142" s="28" t="str">
        <f>IF($B142="","",DATEVALUE(LEFT('Rover CSV Data'!G142,FIND(" ",'Rover CSV Data'!G142)-1))+TIMEVALUE(MID('Rover CSV Data'!G142,LEN('Rover CSV Data'!G142)-FIND(" ",'Rover CSV Data'!G142),(FIND(" UTC",'Rover CSV Data'!G142))-(LEN('Rover CSV Data'!G142)-FIND(" ",'Rover CSV Data'!G142)))))</f>
        <v/>
      </c>
      <c r="E142" s="29" t="str">
        <f t="shared" si="3"/>
        <v/>
      </c>
      <c r="F142" s="26" t="str">
        <f>IF($B142="","",'Rover CSV Data'!J142)</f>
        <v/>
      </c>
      <c r="G142" s="26" t="str">
        <f>IF($B142="","",AVERAGEIFS(POS_Lat,POS_Time,"&gt;="&amp;($C142+CONVERT(Variables!$C$12,"sec","day")),POS_Time,"&lt;="&amp;($D142-CONVERT(Variables!$C$12+1,"sec","day")),POS_Q,"&lt;="&amp;Variables!$C$11))</f>
        <v/>
      </c>
      <c r="H142" s="26" t="str">
        <f>IF($B142="","",AVERAGEIFS(POS_Long,POS_Time,"&gt;="&amp;($C142+CONVERT(Variables!$C$12,"sec","day")),POS_Time,"&lt;="&amp;($D142-CONVERT(Variables!$C$12+1,"sec","day")),POS_Q,"&lt;="&amp;Variables!$C$11))</f>
        <v/>
      </c>
      <c r="I142" s="30" t="str">
        <f>IF($B142="","",AVERAGEIFS(POS_elev,POS_Time,"&gt;="&amp;($C142+CONVERT(Variables!$C$12,"sec","day")),POS_Time,"&lt;="&amp;($D142-CONVERT(Variables!$C$12+1,"sec","day")),POS_Q,"&lt;="&amp;Variables!$C$11)-S142)</f>
        <v/>
      </c>
      <c r="J142" s="26" t="str">
        <f>IF($B142="","",'Rover CSV Data'!D142)</f>
        <v/>
      </c>
      <c r="K142" s="26" t="str">
        <f>IF($B142="","",'Rover CSV Data'!C142)</f>
        <v/>
      </c>
      <c r="L142" s="26" t="str">
        <f>IF($B142="","",'Rover CSV Data'!E142)</f>
        <v/>
      </c>
      <c r="M142" s="30" t="str">
        <f>IF($B142="","",AVERAGEIFS(sdn,POS_Time,"&gt;="&amp;($C142+CONVERT(Variables!$C$12,"sec","day")),POS_Time,"&lt;="&amp;($D142-CONVERT(Variables!$C$12+1,"sec","day")),POS_Q,"&lt;="&amp;Variables!$C$11))</f>
        <v/>
      </c>
      <c r="N142" s="31" t="str">
        <f>IF($B142="","",AVERAGEIFS(sde,POS_Time,"&gt;="&amp;($C142+CONVERT(Variables!$C$12,"sec","day")),POS_Time,"&lt;="&amp;($D142-CONVERT(Variables!$C$12+1,"sec","day")),POS_Q,"&lt;="&amp;Variables!$C$11))</f>
        <v/>
      </c>
      <c r="O142" s="31" t="str">
        <f>IF($B142="","",AVERAGEIFS(sdu,POS_Time,"&gt;="&amp;($C142+CONVERT(Variables!$C$12,"sec","day")),POS_Time,"&lt;="&amp;($D142-CONVERT(Variables!$C$12+1,"sec","day")),POS_Q,"&lt;="&amp;Variables!$C$11))</f>
        <v/>
      </c>
      <c r="P142" s="32" t="str">
        <f t="array" ref="P142">IF($B142="","",STDEV(IF(POS_Time&gt;=($C142+CONVERT(Variables!$C$12,"sec","day")),IF(POS_Time&lt;=($D142-CONVERT(Variables!$C$12+1,"sec","day")),IF(POS_Q&lt;=Variables!$C$11,POS_Lat)))))</f>
        <v/>
      </c>
      <c r="Q142" s="32" t="str">
        <f t="array" ref="Q142">IF($B142="","",STDEV(IF(POS_Time&gt;=($C142+CONVERT(Variables!$C$12,"sec","day")),IF(POS_Time&lt;=($D142-CONVERT(Variables!$C$12+1,"sec","day")),IF(POS_Q&lt;=Variables!$C$11,POS_Long)))))</f>
        <v/>
      </c>
      <c r="R142" s="32" t="str">
        <f t="array" ref="R142">IF($B142="","",STDEV(IF(POS_Time&gt;=($C142+CONVERT(Variables!$C$12,"sec","day")),IF(POS_Time&lt;=($D142-CONVERT(Variables!$C$12+1,"sec","day")),IF(POS_Q&lt;=Variables!$C$11,POS_elev)))))</f>
        <v/>
      </c>
      <c r="S142" s="30" t="str">
        <f>IF($B142="","",'Rover CSV Data'!K142)</f>
        <v/>
      </c>
      <c r="T142" s="26" t="str">
        <f>IF($B142="","",COUNTIFS(POS_Time,"&gt;="&amp;($C142+CONVERT(Variables!$C$12,"sec","day")),POS_Time,"&lt;="&amp;($D142-CONVERT(Variables!$C$12+1,"sec","day")),POS_Q,"&lt;="&amp;Variables!$C$11))</f>
        <v/>
      </c>
      <c r="U142" s="26" t="str">
        <f>IF($B142="","",IF(1&gt;Variables!$C$11,0,COUNTIFS(POS_Time,"&gt;="&amp;($C142+CONVERT(Variables!$C$12,"sec","day")),POS_Time,"&lt;="&amp;($D142-CONVERT(Variables!$C$12+1,"sec","day")),POS_Q,"=1")))</f>
        <v/>
      </c>
      <c r="V142" s="26" t="str">
        <f>IF($B142="","",IF(2&gt;Variables!$C$11,0,COUNTIFS(POS_Time,"&gt;="&amp;($C142+CONVERT(Variables!$C$12,"sec","day")),POS_Time,"&lt;="&amp;($D142-CONVERT(Variables!$C$12+1,"sec","day")),POS_Q,"=2")))</f>
        <v/>
      </c>
      <c r="W142" s="26" t="str">
        <f>IF($B142="","",IF(3&gt;Variables!$C$11,0,COUNTIFS(POS_Time,"&gt;="&amp;($C142+CONVERT(Variables!$C$12,"sec","day")),POS_Time,"&lt;="&amp;($D142-CONVERT(Variables!$C$12+1,"sec","day")),POS_Q,"=3")))</f>
        <v/>
      </c>
      <c r="X142" s="26" t="str">
        <f>IF($B142="","",IF(4&gt;Variables!$C$11,0,COUNTIFS(POS_Time,"&gt;="&amp;($C142+CONVERT(Variables!$C$12,"sec","day")),POS_Time,"&lt;="&amp;($D142-CONVERT(Variables!$C$12+1,"sec","day")),POS_Q,"=4")))</f>
        <v/>
      </c>
      <c r="Y142" s="26" t="str">
        <f>IF($B142="","",IF(5&gt;Variables!$C$11,0,COUNTIFS(POS_Time,"&gt;="&amp;($C142+CONVERT(Variables!$C$12,"sec","day")),POS_Time,"&lt;="&amp;($D142-CONVERT(Variables!$C$12+1,"sec","day")),POS_Q,"=5")))</f>
        <v/>
      </c>
      <c r="Z142" s="26" t="str">
        <f>IF($B142="","",IF(6&gt;Variables!$C$11,0,COUNTIFS(POS_Time,"&gt;="&amp;($C142+CONVERT(Variables!$C$12,"sec","day")),POS_Time,"&lt;="&amp;($D142-CONVERT(Variables!$C$12+1,"sec","day")),POS_Q,"=6")))</f>
        <v/>
      </c>
    </row>
    <row r="143" spans="1:26" x14ac:dyDescent="0.25">
      <c r="A143" s="2">
        <v>142</v>
      </c>
      <c r="B143" s="27" t="str">
        <f>IF((ROW()-1)&lt;=RoverStations,'Rover CSV Data'!B143,"")</f>
        <v/>
      </c>
      <c r="C143" s="28" t="str">
        <f>IF($B143="","",DATEVALUE(LEFT('Rover CSV Data'!F143,FIND(" ",'Rover CSV Data'!F143)-1))+TIMEVALUE(MID('Rover CSV Data'!F143,LEN('Rover CSV Data'!F143)-FIND(" ",'Rover CSV Data'!F143),(FIND(" UTC",'Rover CSV Data'!F143))-(LEN('Rover CSV Data'!F143)-FIND(" ",'Rover CSV Data'!F143)))))</f>
        <v/>
      </c>
      <c r="D143" s="28" t="str">
        <f>IF($B143="","",DATEVALUE(LEFT('Rover CSV Data'!G143,FIND(" ",'Rover CSV Data'!G143)-1))+TIMEVALUE(MID('Rover CSV Data'!G143,LEN('Rover CSV Data'!G143)-FIND(" ",'Rover CSV Data'!G143),(FIND(" UTC",'Rover CSV Data'!G143))-(LEN('Rover CSV Data'!G143)-FIND(" ",'Rover CSV Data'!G143)))))</f>
        <v/>
      </c>
      <c r="E143" s="29" t="str">
        <f t="shared" si="3"/>
        <v/>
      </c>
      <c r="F143" s="26" t="str">
        <f>IF($B143="","",'Rover CSV Data'!J143)</f>
        <v/>
      </c>
      <c r="G143" s="26" t="str">
        <f>IF($B143="","",AVERAGEIFS(POS_Lat,POS_Time,"&gt;="&amp;($C143+CONVERT(Variables!$C$12,"sec","day")),POS_Time,"&lt;="&amp;($D143-CONVERT(Variables!$C$12+1,"sec","day")),POS_Q,"&lt;="&amp;Variables!$C$11))</f>
        <v/>
      </c>
      <c r="H143" s="26" t="str">
        <f>IF($B143="","",AVERAGEIFS(POS_Long,POS_Time,"&gt;="&amp;($C143+CONVERT(Variables!$C$12,"sec","day")),POS_Time,"&lt;="&amp;($D143-CONVERT(Variables!$C$12+1,"sec","day")),POS_Q,"&lt;="&amp;Variables!$C$11))</f>
        <v/>
      </c>
      <c r="I143" s="30" t="str">
        <f>IF($B143="","",AVERAGEIFS(POS_elev,POS_Time,"&gt;="&amp;($C143+CONVERT(Variables!$C$12,"sec","day")),POS_Time,"&lt;="&amp;($D143-CONVERT(Variables!$C$12+1,"sec","day")),POS_Q,"&lt;="&amp;Variables!$C$11)-S143)</f>
        <v/>
      </c>
      <c r="J143" s="26" t="str">
        <f>IF($B143="","",'Rover CSV Data'!D143)</f>
        <v/>
      </c>
      <c r="K143" s="26" t="str">
        <f>IF($B143="","",'Rover CSV Data'!C143)</f>
        <v/>
      </c>
      <c r="L143" s="26" t="str">
        <f>IF($B143="","",'Rover CSV Data'!E143)</f>
        <v/>
      </c>
      <c r="M143" s="30" t="str">
        <f>IF($B143="","",AVERAGEIFS(sdn,POS_Time,"&gt;="&amp;($C143+CONVERT(Variables!$C$12,"sec","day")),POS_Time,"&lt;="&amp;($D143-CONVERT(Variables!$C$12+1,"sec","day")),POS_Q,"&lt;="&amp;Variables!$C$11))</f>
        <v/>
      </c>
      <c r="N143" s="31" t="str">
        <f>IF($B143="","",AVERAGEIFS(sde,POS_Time,"&gt;="&amp;($C143+CONVERT(Variables!$C$12,"sec","day")),POS_Time,"&lt;="&amp;($D143-CONVERT(Variables!$C$12+1,"sec","day")),POS_Q,"&lt;="&amp;Variables!$C$11))</f>
        <v/>
      </c>
      <c r="O143" s="31" t="str">
        <f>IF($B143="","",AVERAGEIFS(sdu,POS_Time,"&gt;="&amp;($C143+CONVERT(Variables!$C$12,"sec","day")),POS_Time,"&lt;="&amp;($D143-CONVERT(Variables!$C$12+1,"sec","day")),POS_Q,"&lt;="&amp;Variables!$C$11))</f>
        <v/>
      </c>
      <c r="P143" s="32" t="str">
        <f t="array" ref="P143">IF($B143="","",STDEV(IF(POS_Time&gt;=($C143+CONVERT(Variables!$C$12,"sec","day")),IF(POS_Time&lt;=($D143-CONVERT(Variables!$C$12+1,"sec","day")),IF(POS_Q&lt;=Variables!$C$11,POS_Lat)))))</f>
        <v/>
      </c>
      <c r="Q143" s="32" t="str">
        <f t="array" ref="Q143">IF($B143="","",STDEV(IF(POS_Time&gt;=($C143+CONVERT(Variables!$C$12,"sec","day")),IF(POS_Time&lt;=($D143-CONVERT(Variables!$C$12+1,"sec","day")),IF(POS_Q&lt;=Variables!$C$11,POS_Long)))))</f>
        <v/>
      </c>
      <c r="R143" s="32" t="str">
        <f t="array" ref="R143">IF($B143="","",STDEV(IF(POS_Time&gt;=($C143+CONVERT(Variables!$C$12,"sec","day")),IF(POS_Time&lt;=($D143-CONVERT(Variables!$C$12+1,"sec","day")),IF(POS_Q&lt;=Variables!$C$11,POS_elev)))))</f>
        <v/>
      </c>
      <c r="S143" s="30" t="str">
        <f>IF($B143="","",'Rover CSV Data'!K143)</f>
        <v/>
      </c>
      <c r="T143" s="26" t="str">
        <f>IF($B143="","",COUNTIFS(POS_Time,"&gt;="&amp;($C143+CONVERT(Variables!$C$12,"sec","day")),POS_Time,"&lt;="&amp;($D143-CONVERT(Variables!$C$12+1,"sec","day")),POS_Q,"&lt;="&amp;Variables!$C$11))</f>
        <v/>
      </c>
      <c r="U143" s="26" t="str">
        <f>IF($B143="","",IF(1&gt;Variables!$C$11,0,COUNTIFS(POS_Time,"&gt;="&amp;($C143+CONVERT(Variables!$C$12,"sec","day")),POS_Time,"&lt;="&amp;($D143-CONVERT(Variables!$C$12+1,"sec","day")),POS_Q,"=1")))</f>
        <v/>
      </c>
      <c r="V143" s="26" t="str">
        <f>IF($B143="","",IF(2&gt;Variables!$C$11,0,COUNTIFS(POS_Time,"&gt;="&amp;($C143+CONVERT(Variables!$C$12,"sec","day")),POS_Time,"&lt;="&amp;($D143-CONVERT(Variables!$C$12+1,"sec","day")),POS_Q,"=2")))</f>
        <v/>
      </c>
      <c r="W143" s="26" t="str">
        <f>IF($B143="","",IF(3&gt;Variables!$C$11,0,COUNTIFS(POS_Time,"&gt;="&amp;($C143+CONVERT(Variables!$C$12,"sec","day")),POS_Time,"&lt;="&amp;($D143-CONVERT(Variables!$C$12+1,"sec","day")),POS_Q,"=3")))</f>
        <v/>
      </c>
      <c r="X143" s="26" t="str">
        <f>IF($B143="","",IF(4&gt;Variables!$C$11,0,COUNTIFS(POS_Time,"&gt;="&amp;($C143+CONVERT(Variables!$C$12,"sec","day")),POS_Time,"&lt;="&amp;($D143-CONVERT(Variables!$C$12+1,"sec","day")),POS_Q,"=4")))</f>
        <v/>
      </c>
      <c r="Y143" s="26" t="str">
        <f>IF($B143="","",IF(5&gt;Variables!$C$11,0,COUNTIFS(POS_Time,"&gt;="&amp;($C143+CONVERT(Variables!$C$12,"sec","day")),POS_Time,"&lt;="&amp;($D143-CONVERT(Variables!$C$12+1,"sec","day")),POS_Q,"=5")))</f>
        <v/>
      </c>
      <c r="Z143" s="26" t="str">
        <f>IF($B143="","",IF(6&gt;Variables!$C$11,0,COUNTIFS(POS_Time,"&gt;="&amp;($C143+CONVERT(Variables!$C$12,"sec","day")),POS_Time,"&lt;="&amp;($D143-CONVERT(Variables!$C$12+1,"sec","day")),POS_Q,"=6")))</f>
        <v/>
      </c>
    </row>
    <row r="144" spans="1:26" x14ac:dyDescent="0.25">
      <c r="A144" s="2">
        <v>143</v>
      </c>
      <c r="B144" s="27" t="str">
        <f>IF((ROW()-1)&lt;=RoverStations,'Rover CSV Data'!B144,"")</f>
        <v/>
      </c>
      <c r="C144" s="28" t="str">
        <f>IF($B144="","",DATEVALUE(LEFT('Rover CSV Data'!F144,FIND(" ",'Rover CSV Data'!F144)-1))+TIMEVALUE(MID('Rover CSV Data'!F144,LEN('Rover CSV Data'!F144)-FIND(" ",'Rover CSV Data'!F144),(FIND(" UTC",'Rover CSV Data'!F144))-(LEN('Rover CSV Data'!F144)-FIND(" ",'Rover CSV Data'!F144)))))</f>
        <v/>
      </c>
      <c r="D144" s="28" t="str">
        <f>IF($B144="","",DATEVALUE(LEFT('Rover CSV Data'!G144,FIND(" ",'Rover CSV Data'!G144)-1))+TIMEVALUE(MID('Rover CSV Data'!G144,LEN('Rover CSV Data'!G144)-FIND(" ",'Rover CSV Data'!G144),(FIND(" UTC",'Rover CSV Data'!G144))-(LEN('Rover CSV Data'!G144)-FIND(" ",'Rover CSV Data'!G144)))))</f>
        <v/>
      </c>
      <c r="E144" s="29" t="str">
        <f t="shared" si="3"/>
        <v/>
      </c>
      <c r="F144" s="26" t="str">
        <f>IF($B144="","",'Rover CSV Data'!J144)</f>
        <v/>
      </c>
      <c r="G144" s="26" t="str">
        <f>IF($B144="","",AVERAGEIFS(POS_Lat,POS_Time,"&gt;="&amp;($C144+CONVERT(Variables!$C$12,"sec","day")),POS_Time,"&lt;="&amp;($D144-CONVERT(Variables!$C$12+1,"sec","day")),POS_Q,"&lt;="&amp;Variables!$C$11))</f>
        <v/>
      </c>
      <c r="H144" s="26" t="str">
        <f>IF($B144="","",AVERAGEIFS(POS_Long,POS_Time,"&gt;="&amp;($C144+CONVERT(Variables!$C$12,"sec","day")),POS_Time,"&lt;="&amp;($D144-CONVERT(Variables!$C$12+1,"sec","day")),POS_Q,"&lt;="&amp;Variables!$C$11))</f>
        <v/>
      </c>
      <c r="I144" s="30" t="str">
        <f>IF($B144="","",AVERAGEIFS(POS_elev,POS_Time,"&gt;="&amp;($C144+CONVERT(Variables!$C$12,"sec","day")),POS_Time,"&lt;="&amp;($D144-CONVERT(Variables!$C$12+1,"sec","day")),POS_Q,"&lt;="&amp;Variables!$C$11)-S144)</f>
        <v/>
      </c>
      <c r="J144" s="26" t="str">
        <f>IF($B144="","",'Rover CSV Data'!D144)</f>
        <v/>
      </c>
      <c r="K144" s="26" t="str">
        <f>IF($B144="","",'Rover CSV Data'!C144)</f>
        <v/>
      </c>
      <c r="L144" s="26" t="str">
        <f>IF($B144="","",'Rover CSV Data'!E144)</f>
        <v/>
      </c>
      <c r="M144" s="30" t="str">
        <f>IF($B144="","",AVERAGEIFS(sdn,POS_Time,"&gt;="&amp;($C144+CONVERT(Variables!$C$12,"sec","day")),POS_Time,"&lt;="&amp;($D144-CONVERT(Variables!$C$12+1,"sec","day")),POS_Q,"&lt;="&amp;Variables!$C$11))</f>
        <v/>
      </c>
      <c r="N144" s="31" t="str">
        <f>IF($B144="","",AVERAGEIFS(sde,POS_Time,"&gt;="&amp;($C144+CONVERT(Variables!$C$12,"sec","day")),POS_Time,"&lt;="&amp;($D144-CONVERT(Variables!$C$12+1,"sec","day")),POS_Q,"&lt;="&amp;Variables!$C$11))</f>
        <v/>
      </c>
      <c r="O144" s="31" t="str">
        <f>IF($B144="","",AVERAGEIFS(sdu,POS_Time,"&gt;="&amp;($C144+CONVERT(Variables!$C$12,"sec","day")),POS_Time,"&lt;="&amp;($D144-CONVERT(Variables!$C$12+1,"sec","day")),POS_Q,"&lt;="&amp;Variables!$C$11))</f>
        <v/>
      </c>
      <c r="P144" s="32" t="str">
        <f t="array" ref="P144">IF($B144="","",STDEV(IF(POS_Time&gt;=($C144+CONVERT(Variables!$C$12,"sec","day")),IF(POS_Time&lt;=($D144-CONVERT(Variables!$C$12+1,"sec","day")),IF(POS_Q&lt;=Variables!$C$11,POS_Lat)))))</f>
        <v/>
      </c>
      <c r="Q144" s="32" t="str">
        <f t="array" ref="Q144">IF($B144="","",STDEV(IF(POS_Time&gt;=($C144+CONVERT(Variables!$C$12,"sec","day")),IF(POS_Time&lt;=($D144-CONVERT(Variables!$C$12+1,"sec","day")),IF(POS_Q&lt;=Variables!$C$11,POS_Long)))))</f>
        <v/>
      </c>
      <c r="R144" s="32" t="str">
        <f t="array" ref="R144">IF($B144="","",STDEV(IF(POS_Time&gt;=($C144+CONVERT(Variables!$C$12,"sec","day")),IF(POS_Time&lt;=($D144-CONVERT(Variables!$C$12+1,"sec","day")),IF(POS_Q&lt;=Variables!$C$11,POS_elev)))))</f>
        <v/>
      </c>
      <c r="S144" s="30" t="str">
        <f>IF($B144="","",'Rover CSV Data'!K144)</f>
        <v/>
      </c>
      <c r="T144" s="26" t="str">
        <f>IF($B144="","",COUNTIFS(POS_Time,"&gt;="&amp;($C144+CONVERT(Variables!$C$12,"sec","day")),POS_Time,"&lt;="&amp;($D144-CONVERT(Variables!$C$12+1,"sec","day")),POS_Q,"&lt;="&amp;Variables!$C$11))</f>
        <v/>
      </c>
      <c r="U144" s="26" t="str">
        <f>IF($B144="","",IF(1&gt;Variables!$C$11,0,COUNTIFS(POS_Time,"&gt;="&amp;($C144+CONVERT(Variables!$C$12,"sec","day")),POS_Time,"&lt;="&amp;($D144-CONVERT(Variables!$C$12+1,"sec","day")),POS_Q,"=1")))</f>
        <v/>
      </c>
      <c r="V144" s="26" t="str">
        <f>IF($B144="","",IF(2&gt;Variables!$C$11,0,COUNTIFS(POS_Time,"&gt;="&amp;($C144+CONVERT(Variables!$C$12,"sec","day")),POS_Time,"&lt;="&amp;($D144-CONVERT(Variables!$C$12+1,"sec","day")),POS_Q,"=2")))</f>
        <v/>
      </c>
      <c r="W144" s="26" t="str">
        <f>IF($B144="","",IF(3&gt;Variables!$C$11,0,COUNTIFS(POS_Time,"&gt;="&amp;($C144+CONVERT(Variables!$C$12,"sec","day")),POS_Time,"&lt;="&amp;($D144-CONVERT(Variables!$C$12+1,"sec","day")),POS_Q,"=3")))</f>
        <v/>
      </c>
      <c r="X144" s="26" t="str">
        <f>IF($B144="","",IF(4&gt;Variables!$C$11,0,COUNTIFS(POS_Time,"&gt;="&amp;($C144+CONVERT(Variables!$C$12,"sec","day")),POS_Time,"&lt;="&amp;($D144-CONVERT(Variables!$C$12+1,"sec","day")),POS_Q,"=4")))</f>
        <v/>
      </c>
      <c r="Y144" s="26" t="str">
        <f>IF($B144="","",IF(5&gt;Variables!$C$11,0,COUNTIFS(POS_Time,"&gt;="&amp;($C144+CONVERT(Variables!$C$12,"sec","day")),POS_Time,"&lt;="&amp;($D144-CONVERT(Variables!$C$12+1,"sec","day")),POS_Q,"=5")))</f>
        <v/>
      </c>
      <c r="Z144" s="26" t="str">
        <f>IF($B144="","",IF(6&gt;Variables!$C$11,0,COUNTIFS(POS_Time,"&gt;="&amp;($C144+CONVERT(Variables!$C$12,"sec","day")),POS_Time,"&lt;="&amp;($D144-CONVERT(Variables!$C$12+1,"sec","day")),POS_Q,"=6")))</f>
        <v/>
      </c>
    </row>
    <row r="145" spans="1:26" x14ac:dyDescent="0.25">
      <c r="A145" s="2">
        <v>144</v>
      </c>
      <c r="B145" s="27" t="str">
        <f>IF((ROW()-1)&lt;=RoverStations,'Rover CSV Data'!B145,"")</f>
        <v/>
      </c>
      <c r="C145" s="28" t="str">
        <f>IF($B145="","",DATEVALUE(LEFT('Rover CSV Data'!F145,FIND(" ",'Rover CSV Data'!F145)-1))+TIMEVALUE(MID('Rover CSV Data'!F145,LEN('Rover CSV Data'!F145)-FIND(" ",'Rover CSV Data'!F145),(FIND(" UTC",'Rover CSV Data'!F145))-(LEN('Rover CSV Data'!F145)-FIND(" ",'Rover CSV Data'!F145)))))</f>
        <v/>
      </c>
      <c r="D145" s="28" t="str">
        <f>IF($B145="","",DATEVALUE(LEFT('Rover CSV Data'!G145,FIND(" ",'Rover CSV Data'!G145)-1))+TIMEVALUE(MID('Rover CSV Data'!G145,LEN('Rover CSV Data'!G145)-FIND(" ",'Rover CSV Data'!G145),(FIND(" UTC",'Rover CSV Data'!G145))-(LEN('Rover CSV Data'!G145)-FIND(" ",'Rover CSV Data'!G145)))))</f>
        <v/>
      </c>
      <c r="E145" s="29" t="str">
        <f t="shared" si="3"/>
        <v/>
      </c>
      <c r="F145" s="26" t="str">
        <f>IF($B145="","",'Rover CSV Data'!J145)</f>
        <v/>
      </c>
      <c r="G145" s="26" t="str">
        <f>IF($B145="","",AVERAGEIFS(POS_Lat,POS_Time,"&gt;="&amp;($C145+CONVERT(Variables!$C$12,"sec","day")),POS_Time,"&lt;="&amp;($D145-CONVERT(Variables!$C$12+1,"sec","day")),POS_Q,"&lt;="&amp;Variables!$C$11))</f>
        <v/>
      </c>
      <c r="H145" s="26" t="str">
        <f>IF($B145="","",AVERAGEIFS(POS_Long,POS_Time,"&gt;="&amp;($C145+CONVERT(Variables!$C$12,"sec","day")),POS_Time,"&lt;="&amp;($D145-CONVERT(Variables!$C$12+1,"sec","day")),POS_Q,"&lt;="&amp;Variables!$C$11))</f>
        <v/>
      </c>
      <c r="I145" s="30" t="str">
        <f>IF($B145="","",AVERAGEIFS(POS_elev,POS_Time,"&gt;="&amp;($C145+CONVERT(Variables!$C$12,"sec","day")),POS_Time,"&lt;="&amp;($D145-CONVERT(Variables!$C$12+1,"sec","day")),POS_Q,"&lt;="&amp;Variables!$C$11)-S145)</f>
        <v/>
      </c>
      <c r="J145" s="26" t="str">
        <f>IF($B145="","",'Rover CSV Data'!D145)</f>
        <v/>
      </c>
      <c r="K145" s="26" t="str">
        <f>IF($B145="","",'Rover CSV Data'!C145)</f>
        <v/>
      </c>
      <c r="L145" s="26" t="str">
        <f>IF($B145="","",'Rover CSV Data'!E145)</f>
        <v/>
      </c>
      <c r="M145" s="30" t="str">
        <f>IF($B145="","",AVERAGEIFS(sdn,POS_Time,"&gt;="&amp;($C145+CONVERT(Variables!$C$12,"sec","day")),POS_Time,"&lt;="&amp;($D145-CONVERT(Variables!$C$12+1,"sec","day")),POS_Q,"&lt;="&amp;Variables!$C$11))</f>
        <v/>
      </c>
      <c r="N145" s="31" t="str">
        <f>IF($B145="","",AVERAGEIFS(sde,POS_Time,"&gt;="&amp;($C145+CONVERT(Variables!$C$12,"sec","day")),POS_Time,"&lt;="&amp;($D145-CONVERT(Variables!$C$12+1,"sec","day")),POS_Q,"&lt;="&amp;Variables!$C$11))</f>
        <v/>
      </c>
      <c r="O145" s="31" t="str">
        <f>IF($B145="","",AVERAGEIFS(sdu,POS_Time,"&gt;="&amp;($C145+CONVERT(Variables!$C$12,"sec","day")),POS_Time,"&lt;="&amp;($D145-CONVERT(Variables!$C$12+1,"sec","day")),POS_Q,"&lt;="&amp;Variables!$C$11))</f>
        <v/>
      </c>
      <c r="P145" s="32" t="str">
        <f t="array" ref="P145">IF($B145="","",STDEV(IF(POS_Time&gt;=($C145+CONVERT(Variables!$C$12,"sec","day")),IF(POS_Time&lt;=($D145-CONVERT(Variables!$C$12+1,"sec","day")),IF(POS_Q&lt;=Variables!$C$11,POS_Lat)))))</f>
        <v/>
      </c>
      <c r="Q145" s="32" t="str">
        <f t="array" ref="Q145">IF($B145="","",STDEV(IF(POS_Time&gt;=($C145+CONVERT(Variables!$C$12,"sec","day")),IF(POS_Time&lt;=($D145-CONVERT(Variables!$C$12+1,"sec","day")),IF(POS_Q&lt;=Variables!$C$11,POS_Long)))))</f>
        <v/>
      </c>
      <c r="R145" s="32" t="str">
        <f t="array" ref="R145">IF($B145="","",STDEV(IF(POS_Time&gt;=($C145+CONVERT(Variables!$C$12,"sec","day")),IF(POS_Time&lt;=($D145-CONVERT(Variables!$C$12+1,"sec","day")),IF(POS_Q&lt;=Variables!$C$11,POS_elev)))))</f>
        <v/>
      </c>
      <c r="S145" s="30" t="str">
        <f>IF($B145="","",'Rover CSV Data'!K145)</f>
        <v/>
      </c>
      <c r="T145" s="26" t="str">
        <f>IF($B145="","",COUNTIFS(POS_Time,"&gt;="&amp;($C145+CONVERT(Variables!$C$12,"sec","day")),POS_Time,"&lt;="&amp;($D145-CONVERT(Variables!$C$12+1,"sec","day")),POS_Q,"&lt;="&amp;Variables!$C$11))</f>
        <v/>
      </c>
      <c r="U145" s="26" t="str">
        <f>IF($B145="","",IF(1&gt;Variables!$C$11,0,COUNTIFS(POS_Time,"&gt;="&amp;($C145+CONVERT(Variables!$C$12,"sec","day")),POS_Time,"&lt;="&amp;($D145-CONVERT(Variables!$C$12+1,"sec","day")),POS_Q,"=1")))</f>
        <v/>
      </c>
      <c r="V145" s="26" t="str">
        <f>IF($B145="","",IF(2&gt;Variables!$C$11,0,COUNTIFS(POS_Time,"&gt;="&amp;($C145+CONVERT(Variables!$C$12,"sec","day")),POS_Time,"&lt;="&amp;($D145-CONVERT(Variables!$C$12+1,"sec","day")),POS_Q,"=2")))</f>
        <v/>
      </c>
      <c r="W145" s="26" t="str">
        <f>IF($B145="","",IF(3&gt;Variables!$C$11,0,COUNTIFS(POS_Time,"&gt;="&amp;($C145+CONVERT(Variables!$C$12,"sec","day")),POS_Time,"&lt;="&amp;($D145-CONVERT(Variables!$C$12+1,"sec","day")),POS_Q,"=3")))</f>
        <v/>
      </c>
      <c r="X145" s="26" t="str">
        <f>IF($B145="","",IF(4&gt;Variables!$C$11,0,COUNTIFS(POS_Time,"&gt;="&amp;($C145+CONVERT(Variables!$C$12,"sec","day")),POS_Time,"&lt;="&amp;($D145-CONVERT(Variables!$C$12+1,"sec","day")),POS_Q,"=4")))</f>
        <v/>
      </c>
      <c r="Y145" s="26" t="str">
        <f>IF($B145="","",IF(5&gt;Variables!$C$11,0,COUNTIFS(POS_Time,"&gt;="&amp;($C145+CONVERT(Variables!$C$12,"sec","day")),POS_Time,"&lt;="&amp;($D145-CONVERT(Variables!$C$12+1,"sec","day")),POS_Q,"=5")))</f>
        <v/>
      </c>
      <c r="Z145" s="26" t="str">
        <f>IF($B145="","",IF(6&gt;Variables!$C$11,0,COUNTIFS(POS_Time,"&gt;="&amp;($C145+CONVERT(Variables!$C$12,"sec","day")),POS_Time,"&lt;="&amp;($D145-CONVERT(Variables!$C$12+1,"sec","day")),POS_Q,"=6")))</f>
        <v/>
      </c>
    </row>
    <row r="146" spans="1:26" x14ac:dyDescent="0.25">
      <c r="A146" s="2">
        <v>145</v>
      </c>
      <c r="B146" s="27" t="str">
        <f>IF((ROW()-1)&lt;=RoverStations,'Rover CSV Data'!B146,"")</f>
        <v/>
      </c>
      <c r="C146" s="28" t="str">
        <f>IF($B146="","",DATEVALUE(LEFT('Rover CSV Data'!F146,FIND(" ",'Rover CSV Data'!F146)-1))+TIMEVALUE(MID('Rover CSV Data'!F146,LEN('Rover CSV Data'!F146)-FIND(" ",'Rover CSV Data'!F146),(FIND(" UTC",'Rover CSV Data'!F146))-(LEN('Rover CSV Data'!F146)-FIND(" ",'Rover CSV Data'!F146)))))</f>
        <v/>
      </c>
      <c r="D146" s="28" t="str">
        <f>IF($B146="","",DATEVALUE(LEFT('Rover CSV Data'!G146,FIND(" ",'Rover CSV Data'!G146)-1))+TIMEVALUE(MID('Rover CSV Data'!G146,LEN('Rover CSV Data'!G146)-FIND(" ",'Rover CSV Data'!G146),(FIND(" UTC",'Rover CSV Data'!G146))-(LEN('Rover CSV Data'!G146)-FIND(" ",'Rover CSV Data'!G146)))))</f>
        <v/>
      </c>
      <c r="E146" s="29" t="str">
        <f t="shared" si="3"/>
        <v/>
      </c>
      <c r="F146" s="26" t="str">
        <f>IF($B146="","",'Rover CSV Data'!J146)</f>
        <v/>
      </c>
      <c r="G146" s="26" t="str">
        <f>IF($B146="","",AVERAGEIFS(POS_Lat,POS_Time,"&gt;="&amp;($C146+CONVERT(Variables!$C$12,"sec","day")),POS_Time,"&lt;="&amp;($D146-CONVERT(Variables!$C$12+1,"sec","day")),POS_Q,"&lt;="&amp;Variables!$C$11))</f>
        <v/>
      </c>
      <c r="H146" s="26" t="str">
        <f>IF($B146="","",AVERAGEIFS(POS_Long,POS_Time,"&gt;="&amp;($C146+CONVERT(Variables!$C$12,"sec","day")),POS_Time,"&lt;="&amp;($D146-CONVERT(Variables!$C$12+1,"sec","day")),POS_Q,"&lt;="&amp;Variables!$C$11))</f>
        <v/>
      </c>
      <c r="I146" s="30" t="str">
        <f>IF($B146="","",AVERAGEIFS(POS_elev,POS_Time,"&gt;="&amp;($C146+CONVERT(Variables!$C$12,"sec","day")),POS_Time,"&lt;="&amp;($D146-CONVERT(Variables!$C$12+1,"sec","day")),POS_Q,"&lt;="&amp;Variables!$C$11)-S146)</f>
        <v/>
      </c>
      <c r="J146" s="26" t="str">
        <f>IF($B146="","",'Rover CSV Data'!D146)</f>
        <v/>
      </c>
      <c r="K146" s="26" t="str">
        <f>IF($B146="","",'Rover CSV Data'!C146)</f>
        <v/>
      </c>
      <c r="L146" s="26" t="str">
        <f>IF($B146="","",'Rover CSV Data'!E146)</f>
        <v/>
      </c>
      <c r="M146" s="30" t="str">
        <f>IF($B146="","",AVERAGEIFS(sdn,POS_Time,"&gt;="&amp;($C146+CONVERT(Variables!$C$12,"sec","day")),POS_Time,"&lt;="&amp;($D146-CONVERT(Variables!$C$12+1,"sec","day")),POS_Q,"&lt;="&amp;Variables!$C$11))</f>
        <v/>
      </c>
      <c r="N146" s="31" t="str">
        <f>IF($B146="","",AVERAGEIFS(sde,POS_Time,"&gt;="&amp;($C146+CONVERT(Variables!$C$12,"sec","day")),POS_Time,"&lt;="&amp;($D146-CONVERT(Variables!$C$12+1,"sec","day")),POS_Q,"&lt;="&amp;Variables!$C$11))</f>
        <v/>
      </c>
      <c r="O146" s="31" t="str">
        <f>IF($B146="","",AVERAGEIFS(sdu,POS_Time,"&gt;="&amp;($C146+CONVERT(Variables!$C$12,"sec","day")),POS_Time,"&lt;="&amp;($D146-CONVERT(Variables!$C$12+1,"sec","day")),POS_Q,"&lt;="&amp;Variables!$C$11))</f>
        <v/>
      </c>
      <c r="P146" s="32" t="str">
        <f t="array" ref="P146">IF($B146="","",STDEV(IF(POS_Time&gt;=($C146+CONVERT(Variables!$C$12,"sec","day")),IF(POS_Time&lt;=($D146-CONVERT(Variables!$C$12+1,"sec","day")),IF(POS_Q&lt;=Variables!$C$11,POS_Lat)))))</f>
        <v/>
      </c>
      <c r="Q146" s="32" t="str">
        <f t="array" ref="Q146">IF($B146="","",STDEV(IF(POS_Time&gt;=($C146+CONVERT(Variables!$C$12,"sec","day")),IF(POS_Time&lt;=($D146-CONVERT(Variables!$C$12+1,"sec","day")),IF(POS_Q&lt;=Variables!$C$11,POS_Long)))))</f>
        <v/>
      </c>
      <c r="R146" s="32" t="str">
        <f t="array" ref="R146">IF($B146="","",STDEV(IF(POS_Time&gt;=($C146+CONVERT(Variables!$C$12,"sec","day")),IF(POS_Time&lt;=($D146-CONVERT(Variables!$C$12+1,"sec","day")),IF(POS_Q&lt;=Variables!$C$11,POS_elev)))))</f>
        <v/>
      </c>
      <c r="S146" s="30" t="str">
        <f>IF($B146="","",'Rover CSV Data'!K146)</f>
        <v/>
      </c>
      <c r="T146" s="26" t="str">
        <f>IF($B146="","",COUNTIFS(POS_Time,"&gt;="&amp;($C146+CONVERT(Variables!$C$12,"sec","day")),POS_Time,"&lt;="&amp;($D146-CONVERT(Variables!$C$12+1,"sec","day")),POS_Q,"&lt;="&amp;Variables!$C$11))</f>
        <v/>
      </c>
      <c r="U146" s="26" t="str">
        <f>IF($B146="","",IF(1&gt;Variables!$C$11,0,COUNTIFS(POS_Time,"&gt;="&amp;($C146+CONVERT(Variables!$C$12,"sec","day")),POS_Time,"&lt;="&amp;($D146-CONVERT(Variables!$C$12+1,"sec","day")),POS_Q,"=1")))</f>
        <v/>
      </c>
      <c r="V146" s="26" t="str">
        <f>IF($B146="","",IF(2&gt;Variables!$C$11,0,COUNTIFS(POS_Time,"&gt;="&amp;($C146+CONVERT(Variables!$C$12,"sec","day")),POS_Time,"&lt;="&amp;($D146-CONVERT(Variables!$C$12+1,"sec","day")),POS_Q,"=2")))</f>
        <v/>
      </c>
      <c r="W146" s="26" t="str">
        <f>IF($B146="","",IF(3&gt;Variables!$C$11,0,COUNTIFS(POS_Time,"&gt;="&amp;($C146+CONVERT(Variables!$C$12,"sec","day")),POS_Time,"&lt;="&amp;($D146-CONVERT(Variables!$C$12+1,"sec","day")),POS_Q,"=3")))</f>
        <v/>
      </c>
      <c r="X146" s="26" t="str">
        <f>IF($B146="","",IF(4&gt;Variables!$C$11,0,COUNTIFS(POS_Time,"&gt;="&amp;($C146+CONVERT(Variables!$C$12,"sec","day")),POS_Time,"&lt;="&amp;($D146-CONVERT(Variables!$C$12+1,"sec","day")),POS_Q,"=4")))</f>
        <v/>
      </c>
      <c r="Y146" s="26" t="str">
        <f>IF($B146="","",IF(5&gt;Variables!$C$11,0,COUNTIFS(POS_Time,"&gt;="&amp;($C146+CONVERT(Variables!$C$12,"sec","day")),POS_Time,"&lt;="&amp;($D146-CONVERT(Variables!$C$12+1,"sec","day")),POS_Q,"=5")))</f>
        <v/>
      </c>
      <c r="Z146" s="26" t="str">
        <f>IF($B146="","",IF(6&gt;Variables!$C$11,0,COUNTIFS(POS_Time,"&gt;="&amp;($C146+CONVERT(Variables!$C$12,"sec","day")),POS_Time,"&lt;="&amp;($D146-CONVERT(Variables!$C$12+1,"sec","day")),POS_Q,"=6")))</f>
        <v/>
      </c>
    </row>
    <row r="147" spans="1:26" x14ac:dyDescent="0.25">
      <c r="A147" s="2">
        <v>146</v>
      </c>
      <c r="B147" s="27" t="str">
        <f>IF((ROW()-1)&lt;=RoverStations,'Rover CSV Data'!B147,"")</f>
        <v/>
      </c>
      <c r="C147" s="28" t="str">
        <f>IF($B147="","",DATEVALUE(LEFT('Rover CSV Data'!F147,FIND(" ",'Rover CSV Data'!F147)-1))+TIMEVALUE(MID('Rover CSV Data'!F147,LEN('Rover CSV Data'!F147)-FIND(" ",'Rover CSV Data'!F147),(FIND(" UTC",'Rover CSV Data'!F147))-(LEN('Rover CSV Data'!F147)-FIND(" ",'Rover CSV Data'!F147)))))</f>
        <v/>
      </c>
      <c r="D147" s="28" t="str">
        <f>IF($B147="","",DATEVALUE(LEFT('Rover CSV Data'!G147,FIND(" ",'Rover CSV Data'!G147)-1))+TIMEVALUE(MID('Rover CSV Data'!G147,LEN('Rover CSV Data'!G147)-FIND(" ",'Rover CSV Data'!G147),(FIND(" UTC",'Rover CSV Data'!G147))-(LEN('Rover CSV Data'!G147)-FIND(" ",'Rover CSV Data'!G147)))))</f>
        <v/>
      </c>
      <c r="E147" s="29" t="str">
        <f t="shared" si="3"/>
        <v/>
      </c>
      <c r="F147" s="26" t="str">
        <f>IF($B147="","",'Rover CSV Data'!J147)</f>
        <v/>
      </c>
      <c r="G147" s="26" t="str">
        <f>IF($B147="","",AVERAGEIFS(POS_Lat,POS_Time,"&gt;="&amp;($C147+CONVERT(Variables!$C$12,"sec","day")),POS_Time,"&lt;="&amp;($D147-CONVERT(Variables!$C$12+1,"sec","day")),POS_Q,"&lt;="&amp;Variables!$C$11))</f>
        <v/>
      </c>
      <c r="H147" s="26" t="str">
        <f>IF($B147="","",AVERAGEIFS(POS_Long,POS_Time,"&gt;="&amp;($C147+CONVERT(Variables!$C$12,"sec","day")),POS_Time,"&lt;="&amp;($D147-CONVERT(Variables!$C$12+1,"sec","day")),POS_Q,"&lt;="&amp;Variables!$C$11))</f>
        <v/>
      </c>
      <c r="I147" s="30" t="str">
        <f>IF($B147="","",AVERAGEIFS(POS_elev,POS_Time,"&gt;="&amp;($C147+CONVERT(Variables!$C$12,"sec","day")),POS_Time,"&lt;="&amp;($D147-CONVERT(Variables!$C$12+1,"sec","day")),POS_Q,"&lt;="&amp;Variables!$C$11)-S147)</f>
        <v/>
      </c>
      <c r="J147" s="26" t="str">
        <f>IF($B147="","",'Rover CSV Data'!D147)</f>
        <v/>
      </c>
      <c r="K147" s="26" t="str">
        <f>IF($B147="","",'Rover CSV Data'!C147)</f>
        <v/>
      </c>
      <c r="L147" s="26" t="str">
        <f>IF($B147="","",'Rover CSV Data'!E147)</f>
        <v/>
      </c>
      <c r="M147" s="30" t="str">
        <f>IF($B147="","",AVERAGEIFS(sdn,POS_Time,"&gt;="&amp;($C147+CONVERT(Variables!$C$12,"sec","day")),POS_Time,"&lt;="&amp;($D147-CONVERT(Variables!$C$12+1,"sec","day")),POS_Q,"&lt;="&amp;Variables!$C$11))</f>
        <v/>
      </c>
      <c r="N147" s="31" t="str">
        <f>IF($B147="","",AVERAGEIFS(sde,POS_Time,"&gt;="&amp;($C147+CONVERT(Variables!$C$12,"sec","day")),POS_Time,"&lt;="&amp;($D147-CONVERT(Variables!$C$12+1,"sec","day")),POS_Q,"&lt;="&amp;Variables!$C$11))</f>
        <v/>
      </c>
      <c r="O147" s="31" t="str">
        <f>IF($B147="","",AVERAGEIFS(sdu,POS_Time,"&gt;="&amp;($C147+CONVERT(Variables!$C$12,"sec","day")),POS_Time,"&lt;="&amp;($D147-CONVERT(Variables!$C$12+1,"sec","day")),POS_Q,"&lt;="&amp;Variables!$C$11))</f>
        <v/>
      </c>
      <c r="P147" s="32" t="str">
        <f t="array" ref="P147">IF($B147="","",STDEV(IF(POS_Time&gt;=($C147+CONVERT(Variables!$C$12,"sec","day")),IF(POS_Time&lt;=($D147-CONVERT(Variables!$C$12+1,"sec","day")),IF(POS_Q&lt;=Variables!$C$11,POS_Lat)))))</f>
        <v/>
      </c>
      <c r="Q147" s="32" t="str">
        <f t="array" ref="Q147">IF($B147="","",STDEV(IF(POS_Time&gt;=($C147+CONVERT(Variables!$C$12,"sec","day")),IF(POS_Time&lt;=($D147-CONVERT(Variables!$C$12+1,"sec","day")),IF(POS_Q&lt;=Variables!$C$11,POS_Long)))))</f>
        <v/>
      </c>
      <c r="R147" s="32" t="str">
        <f t="array" ref="R147">IF($B147="","",STDEV(IF(POS_Time&gt;=($C147+CONVERT(Variables!$C$12,"sec","day")),IF(POS_Time&lt;=($D147-CONVERT(Variables!$C$12+1,"sec","day")),IF(POS_Q&lt;=Variables!$C$11,POS_elev)))))</f>
        <v/>
      </c>
      <c r="S147" s="30" t="str">
        <f>IF($B147="","",'Rover CSV Data'!K147)</f>
        <v/>
      </c>
      <c r="T147" s="26" t="str">
        <f>IF($B147="","",COUNTIFS(POS_Time,"&gt;="&amp;($C147+CONVERT(Variables!$C$12,"sec","day")),POS_Time,"&lt;="&amp;($D147-CONVERT(Variables!$C$12+1,"sec","day")),POS_Q,"&lt;="&amp;Variables!$C$11))</f>
        <v/>
      </c>
      <c r="U147" s="26" t="str">
        <f>IF($B147="","",IF(1&gt;Variables!$C$11,0,COUNTIFS(POS_Time,"&gt;="&amp;($C147+CONVERT(Variables!$C$12,"sec","day")),POS_Time,"&lt;="&amp;($D147-CONVERT(Variables!$C$12+1,"sec","day")),POS_Q,"=1")))</f>
        <v/>
      </c>
      <c r="V147" s="26" t="str">
        <f>IF($B147="","",IF(2&gt;Variables!$C$11,0,COUNTIFS(POS_Time,"&gt;="&amp;($C147+CONVERT(Variables!$C$12,"sec","day")),POS_Time,"&lt;="&amp;($D147-CONVERT(Variables!$C$12+1,"sec","day")),POS_Q,"=2")))</f>
        <v/>
      </c>
      <c r="W147" s="26" t="str">
        <f>IF($B147="","",IF(3&gt;Variables!$C$11,0,COUNTIFS(POS_Time,"&gt;="&amp;($C147+CONVERT(Variables!$C$12,"sec","day")),POS_Time,"&lt;="&amp;($D147-CONVERT(Variables!$C$12+1,"sec","day")),POS_Q,"=3")))</f>
        <v/>
      </c>
      <c r="X147" s="26" t="str">
        <f>IF($B147="","",IF(4&gt;Variables!$C$11,0,COUNTIFS(POS_Time,"&gt;="&amp;($C147+CONVERT(Variables!$C$12,"sec","day")),POS_Time,"&lt;="&amp;($D147-CONVERT(Variables!$C$12+1,"sec","day")),POS_Q,"=4")))</f>
        <v/>
      </c>
      <c r="Y147" s="26" t="str">
        <f>IF($B147="","",IF(5&gt;Variables!$C$11,0,COUNTIFS(POS_Time,"&gt;="&amp;($C147+CONVERT(Variables!$C$12,"sec","day")),POS_Time,"&lt;="&amp;($D147-CONVERT(Variables!$C$12+1,"sec","day")),POS_Q,"=5")))</f>
        <v/>
      </c>
      <c r="Z147" s="26" t="str">
        <f>IF($B147="","",IF(6&gt;Variables!$C$11,0,COUNTIFS(POS_Time,"&gt;="&amp;($C147+CONVERT(Variables!$C$12,"sec","day")),POS_Time,"&lt;="&amp;($D147-CONVERT(Variables!$C$12+1,"sec","day")),POS_Q,"=6")))</f>
        <v/>
      </c>
    </row>
    <row r="148" spans="1:26" x14ac:dyDescent="0.25">
      <c r="A148" s="2">
        <v>147</v>
      </c>
      <c r="B148" s="27" t="str">
        <f>IF((ROW()-1)&lt;=RoverStations,'Rover CSV Data'!B148,"")</f>
        <v/>
      </c>
      <c r="C148" s="28" t="str">
        <f>IF($B148="","",DATEVALUE(LEFT('Rover CSV Data'!F148,FIND(" ",'Rover CSV Data'!F148)-1))+TIMEVALUE(MID('Rover CSV Data'!F148,LEN('Rover CSV Data'!F148)-FIND(" ",'Rover CSV Data'!F148),(FIND(" UTC",'Rover CSV Data'!F148))-(LEN('Rover CSV Data'!F148)-FIND(" ",'Rover CSV Data'!F148)))))</f>
        <v/>
      </c>
      <c r="D148" s="28" t="str">
        <f>IF($B148="","",DATEVALUE(LEFT('Rover CSV Data'!G148,FIND(" ",'Rover CSV Data'!G148)-1))+TIMEVALUE(MID('Rover CSV Data'!G148,LEN('Rover CSV Data'!G148)-FIND(" ",'Rover CSV Data'!G148),(FIND(" UTC",'Rover CSV Data'!G148))-(LEN('Rover CSV Data'!G148)-FIND(" ",'Rover CSV Data'!G148)))))</f>
        <v/>
      </c>
      <c r="E148" s="29" t="str">
        <f t="shared" si="3"/>
        <v/>
      </c>
      <c r="F148" s="26" t="str">
        <f>IF($B148="","",'Rover CSV Data'!J148)</f>
        <v/>
      </c>
      <c r="G148" s="26" t="str">
        <f>IF($B148="","",AVERAGEIFS(POS_Lat,POS_Time,"&gt;="&amp;($C148+CONVERT(Variables!$C$12,"sec","day")),POS_Time,"&lt;="&amp;($D148-CONVERT(Variables!$C$12+1,"sec","day")),POS_Q,"&lt;="&amp;Variables!$C$11))</f>
        <v/>
      </c>
      <c r="H148" s="26" t="str">
        <f>IF($B148="","",AVERAGEIFS(POS_Long,POS_Time,"&gt;="&amp;($C148+CONVERT(Variables!$C$12,"sec","day")),POS_Time,"&lt;="&amp;($D148-CONVERT(Variables!$C$12+1,"sec","day")),POS_Q,"&lt;="&amp;Variables!$C$11))</f>
        <v/>
      </c>
      <c r="I148" s="30" t="str">
        <f>IF($B148="","",AVERAGEIFS(POS_elev,POS_Time,"&gt;="&amp;($C148+CONVERT(Variables!$C$12,"sec","day")),POS_Time,"&lt;="&amp;($D148-CONVERT(Variables!$C$12+1,"sec","day")),POS_Q,"&lt;="&amp;Variables!$C$11)-S148)</f>
        <v/>
      </c>
      <c r="J148" s="26" t="str">
        <f>IF($B148="","",'Rover CSV Data'!D148)</f>
        <v/>
      </c>
      <c r="K148" s="26" t="str">
        <f>IF($B148="","",'Rover CSV Data'!C148)</f>
        <v/>
      </c>
      <c r="L148" s="26" t="str">
        <f>IF($B148="","",'Rover CSV Data'!E148)</f>
        <v/>
      </c>
      <c r="M148" s="30" t="str">
        <f>IF($B148="","",AVERAGEIFS(sdn,POS_Time,"&gt;="&amp;($C148+CONVERT(Variables!$C$12,"sec","day")),POS_Time,"&lt;="&amp;($D148-CONVERT(Variables!$C$12+1,"sec","day")),POS_Q,"&lt;="&amp;Variables!$C$11))</f>
        <v/>
      </c>
      <c r="N148" s="31" t="str">
        <f>IF($B148="","",AVERAGEIFS(sde,POS_Time,"&gt;="&amp;($C148+CONVERT(Variables!$C$12,"sec","day")),POS_Time,"&lt;="&amp;($D148-CONVERT(Variables!$C$12+1,"sec","day")),POS_Q,"&lt;="&amp;Variables!$C$11))</f>
        <v/>
      </c>
      <c r="O148" s="31" t="str">
        <f>IF($B148="","",AVERAGEIFS(sdu,POS_Time,"&gt;="&amp;($C148+CONVERT(Variables!$C$12,"sec","day")),POS_Time,"&lt;="&amp;($D148-CONVERT(Variables!$C$12+1,"sec","day")),POS_Q,"&lt;="&amp;Variables!$C$11))</f>
        <v/>
      </c>
      <c r="P148" s="32" t="str">
        <f t="array" ref="P148">IF($B148="","",STDEV(IF(POS_Time&gt;=($C148+CONVERT(Variables!$C$12,"sec","day")),IF(POS_Time&lt;=($D148-CONVERT(Variables!$C$12+1,"sec","day")),IF(POS_Q&lt;=Variables!$C$11,POS_Lat)))))</f>
        <v/>
      </c>
      <c r="Q148" s="32" t="str">
        <f t="array" ref="Q148">IF($B148="","",STDEV(IF(POS_Time&gt;=($C148+CONVERT(Variables!$C$12,"sec","day")),IF(POS_Time&lt;=($D148-CONVERT(Variables!$C$12+1,"sec","day")),IF(POS_Q&lt;=Variables!$C$11,POS_Long)))))</f>
        <v/>
      </c>
      <c r="R148" s="32" t="str">
        <f t="array" ref="R148">IF($B148="","",STDEV(IF(POS_Time&gt;=($C148+CONVERT(Variables!$C$12,"sec","day")),IF(POS_Time&lt;=($D148-CONVERT(Variables!$C$12+1,"sec","day")),IF(POS_Q&lt;=Variables!$C$11,POS_elev)))))</f>
        <v/>
      </c>
      <c r="S148" s="30" t="str">
        <f>IF($B148="","",'Rover CSV Data'!K148)</f>
        <v/>
      </c>
      <c r="T148" s="26" t="str">
        <f>IF($B148="","",COUNTIFS(POS_Time,"&gt;="&amp;($C148+CONVERT(Variables!$C$12,"sec","day")),POS_Time,"&lt;="&amp;($D148-CONVERT(Variables!$C$12+1,"sec","day")),POS_Q,"&lt;="&amp;Variables!$C$11))</f>
        <v/>
      </c>
      <c r="U148" s="26" t="str">
        <f>IF($B148="","",IF(1&gt;Variables!$C$11,0,COUNTIFS(POS_Time,"&gt;="&amp;($C148+CONVERT(Variables!$C$12,"sec","day")),POS_Time,"&lt;="&amp;($D148-CONVERT(Variables!$C$12+1,"sec","day")),POS_Q,"=1")))</f>
        <v/>
      </c>
      <c r="V148" s="26" t="str">
        <f>IF($B148="","",IF(2&gt;Variables!$C$11,0,COUNTIFS(POS_Time,"&gt;="&amp;($C148+CONVERT(Variables!$C$12,"sec","day")),POS_Time,"&lt;="&amp;($D148-CONVERT(Variables!$C$12+1,"sec","day")),POS_Q,"=2")))</f>
        <v/>
      </c>
      <c r="W148" s="26" t="str">
        <f>IF($B148="","",IF(3&gt;Variables!$C$11,0,COUNTIFS(POS_Time,"&gt;="&amp;($C148+CONVERT(Variables!$C$12,"sec","day")),POS_Time,"&lt;="&amp;($D148-CONVERT(Variables!$C$12+1,"sec","day")),POS_Q,"=3")))</f>
        <v/>
      </c>
      <c r="X148" s="26" t="str">
        <f>IF($B148="","",IF(4&gt;Variables!$C$11,0,COUNTIFS(POS_Time,"&gt;="&amp;($C148+CONVERT(Variables!$C$12,"sec","day")),POS_Time,"&lt;="&amp;($D148-CONVERT(Variables!$C$12+1,"sec","day")),POS_Q,"=4")))</f>
        <v/>
      </c>
      <c r="Y148" s="26" t="str">
        <f>IF($B148="","",IF(5&gt;Variables!$C$11,0,COUNTIFS(POS_Time,"&gt;="&amp;($C148+CONVERT(Variables!$C$12,"sec","day")),POS_Time,"&lt;="&amp;($D148-CONVERT(Variables!$C$12+1,"sec","day")),POS_Q,"=5")))</f>
        <v/>
      </c>
      <c r="Z148" s="26" t="str">
        <f>IF($B148="","",IF(6&gt;Variables!$C$11,0,COUNTIFS(POS_Time,"&gt;="&amp;($C148+CONVERT(Variables!$C$12,"sec","day")),POS_Time,"&lt;="&amp;($D148-CONVERT(Variables!$C$12+1,"sec","day")),POS_Q,"=6")))</f>
        <v/>
      </c>
    </row>
    <row r="149" spans="1:26" x14ac:dyDescent="0.25">
      <c r="A149" s="2">
        <v>148</v>
      </c>
      <c r="B149" s="27" t="str">
        <f>IF((ROW()-1)&lt;=RoverStations,'Rover CSV Data'!B149,"")</f>
        <v/>
      </c>
      <c r="C149" s="28" t="str">
        <f>IF($B149="","",DATEVALUE(LEFT('Rover CSV Data'!F149,FIND(" ",'Rover CSV Data'!F149)-1))+TIMEVALUE(MID('Rover CSV Data'!F149,LEN('Rover CSV Data'!F149)-FIND(" ",'Rover CSV Data'!F149),(FIND(" UTC",'Rover CSV Data'!F149))-(LEN('Rover CSV Data'!F149)-FIND(" ",'Rover CSV Data'!F149)))))</f>
        <v/>
      </c>
      <c r="D149" s="28" t="str">
        <f>IF($B149="","",DATEVALUE(LEFT('Rover CSV Data'!G149,FIND(" ",'Rover CSV Data'!G149)-1))+TIMEVALUE(MID('Rover CSV Data'!G149,LEN('Rover CSV Data'!G149)-FIND(" ",'Rover CSV Data'!G149),(FIND(" UTC",'Rover CSV Data'!G149))-(LEN('Rover CSV Data'!G149)-FIND(" ",'Rover CSV Data'!G149)))))</f>
        <v/>
      </c>
      <c r="E149" s="29" t="str">
        <f t="shared" si="3"/>
        <v/>
      </c>
      <c r="F149" s="26" t="str">
        <f>IF($B149="","",'Rover CSV Data'!J149)</f>
        <v/>
      </c>
      <c r="G149" s="26" t="str">
        <f>IF($B149="","",AVERAGEIFS(POS_Lat,POS_Time,"&gt;="&amp;($C149+CONVERT(Variables!$C$12,"sec","day")),POS_Time,"&lt;="&amp;($D149-CONVERT(Variables!$C$12+1,"sec","day")),POS_Q,"&lt;="&amp;Variables!$C$11))</f>
        <v/>
      </c>
      <c r="H149" s="26" t="str">
        <f>IF($B149="","",AVERAGEIFS(POS_Long,POS_Time,"&gt;="&amp;($C149+CONVERT(Variables!$C$12,"sec","day")),POS_Time,"&lt;="&amp;($D149-CONVERT(Variables!$C$12+1,"sec","day")),POS_Q,"&lt;="&amp;Variables!$C$11))</f>
        <v/>
      </c>
      <c r="I149" s="30" t="str">
        <f>IF($B149="","",AVERAGEIFS(POS_elev,POS_Time,"&gt;="&amp;($C149+CONVERT(Variables!$C$12,"sec","day")),POS_Time,"&lt;="&amp;($D149-CONVERT(Variables!$C$12+1,"sec","day")),POS_Q,"&lt;="&amp;Variables!$C$11)-S149)</f>
        <v/>
      </c>
      <c r="J149" s="26" t="str">
        <f>IF($B149="","",'Rover CSV Data'!D149)</f>
        <v/>
      </c>
      <c r="K149" s="26" t="str">
        <f>IF($B149="","",'Rover CSV Data'!C149)</f>
        <v/>
      </c>
      <c r="L149" s="26" t="str">
        <f>IF($B149="","",'Rover CSV Data'!E149)</f>
        <v/>
      </c>
      <c r="M149" s="30" t="str">
        <f>IF($B149="","",AVERAGEIFS(sdn,POS_Time,"&gt;="&amp;($C149+CONVERT(Variables!$C$12,"sec","day")),POS_Time,"&lt;="&amp;($D149-CONVERT(Variables!$C$12+1,"sec","day")),POS_Q,"&lt;="&amp;Variables!$C$11))</f>
        <v/>
      </c>
      <c r="N149" s="31" t="str">
        <f>IF($B149="","",AVERAGEIFS(sde,POS_Time,"&gt;="&amp;($C149+CONVERT(Variables!$C$12,"sec","day")),POS_Time,"&lt;="&amp;($D149-CONVERT(Variables!$C$12+1,"sec","day")),POS_Q,"&lt;="&amp;Variables!$C$11))</f>
        <v/>
      </c>
      <c r="O149" s="31" t="str">
        <f>IF($B149="","",AVERAGEIFS(sdu,POS_Time,"&gt;="&amp;($C149+CONVERT(Variables!$C$12,"sec","day")),POS_Time,"&lt;="&amp;($D149-CONVERT(Variables!$C$12+1,"sec","day")),POS_Q,"&lt;="&amp;Variables!$C$11))</f>
        <v/>
      </c>
      <c r="P149" s="32" t="str">
        <f t="array" ref="P149">IF($B149="","",STDEV(IF(POS_Time&gt;=($C149+CONVERT(Variables!$C$12,"sec","day")),IF(POS_Time&lt;=($D149-CONVERT(Variables!$C$12+1,"sec","day")),IF(POS_Q&lt;=Variables!$C$11,POS_Lat)))))</f>
        <v/>
      </c>
      <c r="Q149" s="32" t="str">
        <f t="array" ref="Q149">IF($B149="","",STDEV(IF(POS_Time&gt;=($C149+CONVERT(Variables!$C$12,"sec","day")),IF(POS_Time&lt;=($D149-CONVERT(Variables!$C$12+1,"sec","day")),IF(POS_Q&lt;=Variables!$C$11,POS_Long)))))</f>
        <v/>
      </c>
      <c r="R149" s="32" t="str">
        <f t="array" ref="R149">IF($B149="","",STDEV(IF(POS_Time&gt;=($C149+CONVERT(Variables!$C$12,"sec","day")),IF(POS_Time&lt;=($D149-CONVERT(Variables!$C$12+1,"sec","day")),IF(POS_Q&lt;=Variables!$C$11,POS_elev)))))</f>
        <v/>
      </c>
      <c r="S149" s="30" t="str">
        <f>IF($B149="","",'Rover CSV Data'!K149)</f>
        <v/>
      </c>
      <c r="T149" s="26" t="str">
        <f>IF($B149="","",COUNTIFS(POS_Time,"&gt;="&amp;($C149+CONVERT(Variables!$C$12,"sec","day")),POS_Time,"&lt;="&amp;($D149-CONVERT(Variables!$C$12+1,"sec","day")),POS_Q,"&lt;="&amp;Variables!$C$11))</f>
        <v/>
      </c>
      <c r="U149" s="26" t="str">
        <f>IF($B149="","",IF(1&gt;Variables!$C$11,0,COUNTIFS(POS_Time,"&gt;="&amp;($C149+CONVERT(Variables!$C$12,"sec","day")),POS_Time,"&lt;="&amp;($D149-CONVERT(Variables!$C$12+1,"sec","day")),POS_Q,"=1")))</f>
        <v/>
      </c>
      <c r="V149" s="26" t="str">
        <f>IF($B149="","",IF(2&gt;Variables!$C$11,0,COUNTIFS(POS_Time,"&gt;="&amp;($C149+CONVERT(Variables!$C$12,"sec","day")),POS_Time,"&lt;="&amp;($D149-CONVERT(Variables!$C$12+1,"sec","day")),POS_Q,"=2")))</f>
        <v/>
      </c>
      <c r="W149" s="26" t="str">
        <f>IF($B149="","",IF(3&gt;Variables!$C$11,0,COUNTIFS(POS_Time,"&gt;="&amp;($C149+CONVERT(Variables!$C$12,"sec","day")),POS_Time,"&lt;="&amp;($D149-CONVERT(Variables!$C$12+1,"sec","day")),POS_Q,"=3")))</f>
        <v/>
      </c>
      <c r="X149" s="26" t="str">
        <f>IF($B149="","",IF(4&gt;Variables!$C$11,0,COUNTIFS(POS_Time,"&gt;="&amp;($C149+CONVERT(Variables!$C$12,"sec","day")),POS_Time,"&lt;="&amp;($D149-CONVERT(Variables!$C$12+1,"sec","day")),POS_Q,"=4")))</f>
        <v/>
      </c>
      <c r="Y149" s="26" t="str">
        <f>IF($B149="","",IF(5&gt;Variables!$C$11,0,COUNTIFS(POS_Time,"&gt;="&amp;($C149+CONVERT(Variables!$C$12,"sec","day")),POS_Time,"&lt;="&amp;($D149-CONVERT(Variables!$C$12+1,"sec","day")),POS_Q,"=5")))</f>
        <v/>
      </c>
      <c r="Z149" s="26" t="str">
        <f>IF($B149="","",IF(6&gt;Variables!$C$11,0,COUNTIFS(POS_Time,"&gt;="&amp;($C149+CONVERT(Variables!$C$12,"sec","day")),POS_Time,"&lt;="&amp;($D149-CONVERT(Variables!$C$12+1,"sec","day")),POS_Q,"=6")))</f>
        <v/>
      </c>
    </row>
    <row r="150" spans="1:26" x14ac:dyDescent="0.25">
      <c r="A150" s="2">
        <v>149</v>
      </c>
      <c r="B150" s="27" t="str">
        <f>IF((ROW()-1)&lt;=RoverStations,'Rover CSV Data'!B150,"")</f>
        <v/>
      </c>
      <c r="C150" s="28" t="str">
        <f>IF($B150="","",DATEVALUE(LEFT('Rover CSV Data'!F150,FIND(" ",'Rover CSV Data'!F150)-1))+TIMEVALUE(MID('Rover CSV Data'!F150,LEN('Rover CSV Data'!F150)-FIND(" ",'Rover CSV Data'!F150),(FIND(" UTC",'Rover CSV Data'!F150))-(LEN('Rover CSV Data'!F150)-FIND(" ",'Rover CSV Data'!F150)))))</f>
        <v/>
      </c>
      <c r="D150" s="28" t="str">
        <f>IF($B150="","",DATEVALUE(LEFT('Rover CSV Data'!G150,FIND(" ",'Rover CSV Data'!G150)-1))+TIMEVALUE(MID('Rover CSV Data'!G150,LEN('Rover CSV Data'!G150)-FIND(" ",'Rover CSV Data'!G150),(FIND(" UTC",'Rover CSV Data'!G150))-(LEN('Rover CSV Data'!G150)-FIND(" ",'Rover CSV Data'!G150)))))</f>
        <v/>
      </c>
      <c r="E150" s="29" t="str">
        <f t="shared" si="3"/>
        <v/>
      </c>
      <c r="F150" s="26" t="str">
        <f>IF($B150="","",'Rover CSV Data'!J150)</f>
        <v/>
      </c>
      <c r="G150" s="26" t="str">
        <f>IF($B150="","",AVERAGEIFS(POS_Lat,POS_Time,"&gt;="&amp;($C150+CONVERT(Variables!$C$12,"sec","day")),POS_Time,"&lt;="&amp;($D150-CONVERT(Variables!$C$12+1,"sec","day")),POS_Q,"&lt;="&amp;Variables!$C$11))</f>
        <v/>
      </c>
      <c r="H150" s="26" t="str">
        <f>IF($B150="","",AVERAGEIFS(POS_Long,POS_Time,"&gt;="&amp;($C150+CONVERT(Variables!$C$12,"sec","day")),POS_Time,"&lt;="&amp;($D150-CONVERT(Variables!$C$12+1,"sec","day")),POS_Q,"&lt;="&amp;Variables!$C$11))</f>
        <v/>
      </c>
      <c r="I150" s="30" t="str">
        <f>IF($B150="","",AVERAGEIFS(POS_elev,POS_Time,"&gt;="&amp;($C150+CONVERT(Variables!$C$12,"sec","day")),POS_Time,"&lt;="&amp;($D150-CONVERT(Variables!$C$12+1,"sec","day")),POS_Q,"&lt;="&amp;Variables!$C$11)-S150)</f>
        <v/>
      </c>
      <c r="J150" s="26" t="str">
        <f>IF($B150="","",'Rover CSV Data'!D150)</f>
        <v/>
      </c>
      <c r="K150" s="26" t="str">
        <f>IF($B150="","",'Rover CSV Data'!C150)</f>
        <v/>
      </c>
      <c r="L150" s="26" t="str">
        <f>IF($B150="","",'Rover CSV Data'!E150)</f>
        <v/>
      </c>
      <c r="M150" s="30" t="str">
        <f>IF($B150="","",AVERAGEIFS(sdn,POS_Time,"&gt;="&amp;($C150+CONVERT(Variables!$C$12,"sec","day")),POS_Time,"&lt;="&amp;($D150-CONVERT(Variables!$C$12+1,"sec","day")),POS_Q,"&lt;="&amp;Variables!$C$11))</f>
        <v/>
      </c>
      <c r="N150" s="31" t="str">
        <f>IF($B150="","",AVERAGEIFS(sde,POS_Time,"&gt;="&amp;($C150+CONVERT(Variables!$C$12,"sec","day")),POS_Time,"&lt;="&amp;($D150-CONVERT(Variables!$C$12+1,"sec","day")),POS_Q,"&lt;="&amp;Variables!$C$11))</f>
        <v/>
      </c>
      <c r="O150" s="31" t="str">
        <f>IF($B150="","",AVERAGEIFS(sdu,POS_Time,"&gt;="&amp;($C150+CONVERT(Variables!$C$12,"sec","day")),POS_Time,"&lt;="&amp;($D150-CONVERT(Variables!$C$12+1,"sec","day")),POS_Q,"&lt;="&amp;Variables!$C$11))</f>
        <v/>
      </c>
      <c r="P150" s="32" t="str">
        <f t="array" ref="P150">IF($B150="","",STDEV(IF(POS_Time&gt;=($C150+CONVERT(Variables!$C$12,"sec","day")),IF(POS_Time&lt;=($D150-CONVERT(Variables!$C$12+1,"sec","day")),IF(POS_Q&lt;=Variables!$C$11,POS_Lat)))))</f>
        <v/>
      </c>
      <c r="Q150" s="32" t="str">
        <f t="array" ref="Q150">IF($B150="","",STDEV(IF(POS_Time&gt;=($C150+CONVERT(Variables!$C$12,"sec","day")),IF(POS_Time&lt;=($D150-CONVERT(Variables!$C$12+1,"sec","day")),IF(POS_Q&lt;=Variables!$C$11,POS_Long)))))</f>
        <v/>
      </c>
      <c r="R150" s="32" t="str">
        <f t="array" ref="R150">IF($B150="","",STDEV(IF(POS_Time&gt;=($C150+CONVERT(Variables!$C$12,"sec","day")),IF(POS_Time&lt;=($D150-CONVERT(Variables!$C$12+1,"sec","day")),IF(POS_Q&lt;=Variables!$C$11,POS_elev)))))</f>
        <v/>
      </c>
      <c r="S150" s="30" t="str">
        <f>IF($B150="","",'Rover CSV Data'!K150)</f>
        <v/>
      </c>
      <c r="T150" s="26" t="str">
        <f>IF($B150="","",COUNTIFS(POS_Time,"&gt;="&amp;($C150+CONVERT(Variables!$C$12,"sec","day")),POS_Time,"&lt;="&amp;($D150-CONVERT(Variables!$C$12+1,"sec","day")),POS_Q,"&lt;="&amp;Variables!$C$11))</f>
        <v/>
      </c>
      <c r="U150" s="26" t="str">
        <f>IF($B150="","",IF(1&gt;Variables!$C$11,0,COUNTIFS(POS_Time,"&gt;="&amp;($C150+CONVERT(Variables!$C$12,"sec","day")),POS_Time,"&lt;="&amp;($D150-CONVERT(Variables!$C$12+1,"sec","day")),POS_Q,"=1")))</f>
        <v/>
      </c>
      <c r="V150" s="26" t="str">
        <f>IF($B150="","",IF(2&gt;Variables!$C$11,0,COUNTIFS(POS_Time,"&gt;="&amp;($C150+CONVERT(Variables!$C$12,"sec","day")),POS_Time,"&lt;="&amp;($D150-CONVERT(Variables!$C$12+1,"sec","day")),POS_Q,"=2")))</f>
        <v/>
      </c>
      <c r="W150" s="26" t="str">
        <f>IF($B150="","",IF(3&gt;Variables!$C$11,0,COUNTIFS(POS_Time,"&gt;="&amp;($C150+CONVERT(Variables!$C$12,"sec","day")),POS_Time,"&lt;="&amp;($D150-CONVERT(Variables!$C$12+1,"sec","day")),POS_Q,"=3")))</f>
        <v/>
      </c>
      <c r="X150" s="26" t="str">
        <f>IF($B150="","",IF(4&gt;Variables!$C$11,0,COUNTIFS(POS_Time,"&gt;="&amp;($C150+CONVERT(Variables!$C$12,"sec","day")),POS_Time,"&lt;="&amp;($D150-CONVERT(Variables!$C$12+1,"sec","day")),POS_Q,"=4")))</f>
        <v/>
      </c>
      <c r="Y150" s="26" t="str">
        <f>IF($B150="","",IF(5&gt;Variables!$C$11,0,COUNTIFS(POS_Time,"&gt;="&amp;($C150+CONVERT(Variables!$C$12,"sec","day")),POS_Time,"&lt;="&amp;($D150-CONVERT(Variables!$C$12+1,"sec","day")),POS_Q,"=5")))</f>
        <v/>
      </c>
      <c r="Z150" s="26" t="str">
        <f>IF($B150="","",IF(6&gt;Variables!$C$11,0,COUNTIFS(POS_Time,"&gt;="&amp;($C150+CONVERT(Variables!$C$12,"sec","day")),POS_Time,"&lt;="&amp;($D150-CONVERT(Variables!$C$12+1,"sec","day")),POS_Q,"=6")))</f>
        <v/>
      </c>
    </row>
    <row r="151" spans="1:26" x14ac:dyDescent="0.25">
      <c r="A151" s="2">
        <v>150</v>
      </c>
      <c r="B151" s="27" t="str">
        <f>IF((ROW()-1)&lt;=RoverStations,'Rover CSV Data'!B151,"")</f>
        <v/>
      </c>
      <c r="C151" s="28" t="str">
        <f>IF($B151="","",DATEVALUE(LEFT('Rover CSV Data'!F151,FIND(" ",'Rover CSV Data'!F151)-1))+TIMEVALUE(MID('Rover CSV Data'!F151,LEN('Rover CSV Data'!F151)-FIND(" ",'Rover CSV Data'!F151),(FIND(" UTC",'Rover CSV Data'!F151))-(LEN('Rover CSV Data'!F151)-FIND(" ",'Rover CSV Data'!F151)))))</f>
        <v/>
      </c>
      <c r="D151" s="28" t="str">
        <f>IF($B151="","",DATEVALUE(LEFT('Rover CSV Data'!G151,FIND(" ",'Rover CSV Data'!G151)-1))+TIMEVALUE(MID('Rover CSV Data'!G151,LEN('Rover CSV Data'!G151)-FIND(" ",'Rover CSV Data'!G151),(FIND(" UTC",'Rover CSV Data'!G151))-(LEN('Rover CSV Data'!G151)-FIND(" ",'Rover CSV Data'!G151)))))</f>
        <v/>
      </c>
      <c r="E151" s="29" t="str">
        <f t="shared" si="3"/>
        <v/>
      </c>
      <c r="F151" s="26" t="str">
        <f>IF($B151="","",'Rover CSV Data'!J151)</f>
        <v/>
      </c>
      <c r="G151" s="26" t="str">
        <f>IF($B151="","",AVERAGEIFS(POS_Lat,POS_Time,"&gt;="&amp;($C151+CONVERT(Variables!$C$12,"sec","day")),POS_Time,"&lt;="&amp;($D151-CONVERT(Variables!$C$12+1,"sec","day")),POS_Q,"&lt;="&amp;Variables!$C$11))</f>
        <v/>
      </c>
      <c r="H151" s="26" t="str">
        <f>IF($B151="","",AVERAGEIFS(POS_Long,POS_Time,"&gt;="&amp;($C151+CONVERT(Variables!$C$12,"sec","day")),POS_Time,"&lt;="&amp;($D151-CONVERT(Variables!$C$12+1,"sec","day")),POS_Q,"&lt;="&amp;Variables!$C$11))</f>
        <v/>
      </c>
      <c r="I151" s="30" t="str">
        <f>IF($B151="","",AVERAGEIFS(POS_elev,POS_Time,"&gt;="&amp;($C151+CONVERT(Variables!$C$12,"sec","day")),POS_Time,"&lt;="&amp;($D151-CONVERT(Variables!$C$12+1,"sec","day")),POS_Q,"&lt;="&amp;Variables!$C$11)-S151)</f>
        <v/>
      </c>
      <c r="J151" s="26" t="str">
        <f>IF($B151="","",'Rover CSV Data'!D151)</f>
        <v/>
      </c>
      <c r="K151" s="26" t="str">
        <f>IF($B151="","",'Rover CSV Data'!C151)</f>
        <v/>
      </c>
      <c r="L151" s="26" t="str">
        <f>IF($B151="","",'Rover CSV Data'!E151)</f>
        <v/>
      </c>
      <c r="M151" s="30" t="str">
        <f>IF($B151="","",AVERAGEIFS(sdn,POS_Time,"&gt;="&amp;($C151+CONVERT(Variables!$C$12,"sec","day")),POS_Time,"&lt;="&amp;($D151-CONVERT(Variables!$C$12+1,"sec","day")),POS_Q,"&lt;="&amp;Variables!$C$11))</f>
        <v/>
      </c>
      <c r="N151" s="31" t="str">
        <f>IF($B151="","",AVERAGEIFS(sde,POS_Time,"&gt;="&amp;($C151+CONVERT(Variables!$C$12,"sec","day")),POS_Time,"&lt;="&amp;($D151-CONVERT(Variables!$C$12+1,"sec","day")),POS_Q,"&lt;="&amp;Variables!$C$11))</f>
        <v/>
      </c>
      <c r="O151" s="31" t="str">
        <f>IF($B151="","",AVERAGEIFS(sdu,POS_Time,"&gt;="&amp;($C151+CONVERT(Variables!$C$12,"sec","day")),POS_Time,"&lt;="&amp;($D151-CONVERT(Variables!$C$12+1,"sec","day")),POS_Q,"&lt;="&amp;Variables!$C$11))</f>
        <v/>
      </c>
      <c r="P151" s="32" t="str">
        <f t="array" ref="P151">IF($B151="","",STDEV(IF(POS_Time&gt;=($C151+CONVERT(Variables!$C$12,"sec","day")),IF(POS_Time&lt;=($D151-CONVERT(Variables!$C$12+1,"sec","day")),IF(POS_Q&lt;=Variables!$C$11,POS_Lat)))))</f>
        <v/>
      </c>
      <c r="Q151" s="32" t="str">
        <f t="array" ref="Q151">IF($B151="","",STDEV(IF(POS_Time&gt;=($C151+CONVERT(Variables!$C$12,"sec","day")),IF(POS_Time&lt;=($D151-CONVERT(Variables!$C$12+1,"sec","day")),IF(POS_Q&lt;=Variables!$C$11,POS_Long)))))</f>
        <v/>
      </c>
      <c r="R151" s="32" t="str">
        <f t="array" ref="R151">IF($B151="","",STDEV(IF(POS_Time&gt;=($C151+CONVERT(Variables!$C$12,"sec","day")),IF(POS_Time&lt;=($D151-CONVERT(Variables!$C$12+1,"sec","day")),IF(POS_Q&lt;=Variables!$C$11,POS_elev)))))</f>
        <v/>
      </c>
      <c r="S151" s="30" t="str">
        <f>IF($B151="","",'Rover CSV Data'!K151)</f>
        <v/>
      </c>
      <c r="T151" s="26" t="str">
        <f>IF($B151="","",COUNTIFS(POS_Time,"&gt;="&amp;($C151+CONVERT(Variables!$C$12,"sec","day")),POS_Time,"&lt;="&amp;($D151-CONVERT(Variables!$C$12+1,"sec","day")),POS_Q,"&lt;="&amp;Variables!$C$11))</f>
        <v/>
      </c>
      <c r="U151" s="26" t="str">
        <f>IF($B151="","",IF(1&gt;Variables!$C$11,0,COUNTIFS(POS_Time,"&gt;="&amp;($C151+CONVERT(Variables!$C$12,"sec","day")),POS_Time,"&lt;="&amp;($D151-CONVERT(Variables!$C$12+1,"sec","day")),POS_Q,"=1")))</f>
        <v/>
      </c>
      <c r="V151" s="26" t="str">
        <f>IF($B151="","",IF(2&gt;Variables!$C$11,0,COUNTIFS(POS_Time,"&gt;="&amp;($C151+CONVERT(Variables!$C$12,"sec","day")),POS_Time,"&lt;="&amp;($D151-CONVERT(Variables!$C$12+1,"sec","day")),POS_Q,"=2")))</f>
        <v/>
      </c>
      <c r="W151" s="26" t="str">
        <f>IF($B151="","",IF(3&gt;Variables!$C$11,0,COUNTIFS(POS_Time,"&gt;="&amp;($C151+CONVERT(Variables!$C$12,"sec","day")),POS_Time,"&lt;="&amp;($D151-CONVERT(Variables!$C$12+1,"sec","day")),POS_Q,"=3")))</f>
        <v/>
      </c>
      <c r="X151" s="26" t="str">
        <f>IF($B151="","",IF(4&gt;Variables!$C$11,0,COUNTIFS(POS_Time,"&gt;="&amp;($C151+CONVERT(Variables!$C$12,"sec","day")),POS_Time,"&lt;="&amp;($D151-CONVERT(Variables!$C$12+1,"sec","day")),POS_Q,"=4")))</f>
        <v/>
      </c>
      <c r="Y151" s="26" t="str">
        <f>IF($B151="","",IF(5&gt;Variables!$C$11,0,COUNTIFS(POS_Time,"&gt;="&amp;($C151+CONVERT(Variables!$C$12,"sec","day")),POS_Time,"&lt;="&amp;($D151-CONVERT(Variables!$C$12+1,"sec","day")),POS_Q,"=5")))</f>
        <v/>
      </c>
      <c r="Z151" s="26" t="str">
        <f>IF($B151="","",IF(6&gt;Variables!$C$11,0,COUNTIFS(POS_Time,"&gt;="&amp;($C151+CONVERT(Variables!$C$12,"sec","day")),POS_Time,"&lt;="&amp;($D151-CONVERT(Variables!$C$12+1,"sec","day")),POS_Q,"=6")))</f>
        <v/>
      </c>
    </row>
    <row r="152" spans="1:26" x14ac:dyDescent="0.25">
      <c r="A152" s="2">
        <v>151</v>
      </c>
      <c r="B152" s="27" t="str">
        <f>IF((ROW()-1)&lt;=RoverStations,'Rover CSV Data'!B152,"")</f>
        <v/>
      </c>
      <c r="C152" s="28" t="str">
        <f>IF($B152="","",DATEVALUE(LEFT('Rover CSV Data'!F152,FIND(" ",'Rover CSV Data'!F152)-1))+TIMEVALUE(MID('Rover CSV Data'!F152,LEN('Rover CSV Data'!F152)-FIND(" ",'Rover CSV Data'!F152),(FIND(" UTC",'Rover CSV Data'!F152))-(LEN('Rover CSV Data'!F152)-FIND(" ",'Rover CSV Data'!F152)))))</f>
        <v/>
      </c>
      <c r="D152" s="28" t="str">
        <f>IF($B152="","",DATEVALUE(LEFT('Rover CSV Data'!G152,FIND(" ",'Rover CSV Data'!G152)-1))+TIMEVALUE(MID('Rover CSV Data'!G152,LEN('Rover CSV Data'!G152)-FIND(" ",'Rover CSV Data'!G152),(FIND(" UTC",'Rover CSV Data'!G152))-(LEN('Rover CSV Data'!G152)-FIND(" ",'Rover CSV Data'!G152)))))</f>
        <v/>
      </c>
      <c r="E152" s="29" t="str">
        <f t="shared" si="3"/>
        <v/>
      </c>
      <c r="F152" s="26" t="str">
        <f>IF($B152="","",'Rover CSV Data'!J152)</f>
        <v/>
      </c>
      <c r="G152" s="26" t="str">
        <f>IF($B152="","",AVERAGEIFS(POS_Lat,POS_Time,"&gt;="&amp;($C152+CONVERT(Variables!$C$12,"sec","day")),POS_Time,"&lt;="&amp;($D152-CONVERT(Variables!$C$12+1,"sec","day")),POS_Q,"&lt;="&amp;Variables!$C$11))</f>
        <v/>
      </c>
      <c r="H152" s="26" t="str">
        <f>IF($B152="","",AVERAGEIFS(POS_Long,POS_Time,"&gt;="&amp;($C152+CONVERT(Variables!$C$12,"sec","day")),POS_Time,"&lt;="&amp;($D152-CONVERT(Variables!$C$12+1,"sec","day")),POS_Q,"&lt;="&amp;Variables!$C$11))</f>
        <v/>
      </c>
      <c r="I152" s="30" t="str">
        <f>IF($B152="","",AVERAGEIFS(POS_elev,POS_Time,"&gt;="&amp;($C152+CONVERT(Variables!$C$12,"sec","day")),POS_Time,"&lt;="&amp;($D152-CONVERT(Variables!$C$12+1,"sec","day")),POS_Q,"&lt;="&amp;Variables!$C$11)-S152)</f>
        <v/>
      </c>
      <c r="J152" s="26" t="str">
        <f>IF($B152="","",'Rover CSV Data'!D152)</f>
        <v/>
      </c>
      <c r="K152" s="26" t="str">
        <f>IF($B152="","",'Rover CSV Data'!C152)</f>
        <v/>
      </c>
      <c r="L152" s="26" t="str">
        <f>IF($B152="","",'Rover CSV Data'!E152)</f>
        <v/>
      </c>
      <c r="M152" s="30" t="str">
        <f>IF($B152="","",AVERAGEIFS(sdn,POS_Time,"&gt;="&amp;($C152+CONVERT(Variables!$C$12,"sec","day")),POS_Time,"&lt;="&amp;($D152-CONVERT(Variables!$C$12+1,"sec","day")),POS_Q,"&lt;="&amp;Variables!$C$11))</f>
        <v/>
      </c>
      <c r="N152" s="31" t="str">
        <f>IF($B152="","",AVERAGEIFS(sde,POS_Time,"&gt;="&amp;($C152+CONVERT(Variables!$C$12,"sec","day")),POS_Time,"&lt;="&amp;($D152-CONVERT(Variables!$C$12+1,"sec","day")),POS_Q,"&lt;="&amp;Variables!$C$11))</f>
        <v/>
      </c>
      <c r="O152" s="31" t="str">
        <f>IF($B152="","",AVERAGEIFS(sdu,POS_Time,"&gt;="&amp;($C152+CONVERT(Variables!$C$12,"sec","day")),POS_Time,"&lt;="&amp;($D152-CONVERT(Variables!$C$12+1,"sec","day")),POS_Q,"&lt;="&amp;Variables!$C$11))</f>
        <v/>
      </c>
      <c r="P152" s="32" t="str">
        <f t="array" ref="P152">IF($B152="","",STDEV(IF(POS_Time&gt;=($C152+CONVERT(Variables!$C$12,"sec","day")),IF(POS_Time&lt;=($D152-CONVERT(Variables!$C$12+1,"sec","day")),IF(POS_Q&lt;=Variables!$C$11,POS_Lat)))))</f>
        <v/>
      </c>
      <c r="Q152" s="32" t="str">
        <f t="array" ref="Q152">IF($B152="","",STDEV(IF(POS_Time&gt;=($C152+CONVERT(Variables!$C$12,"sec","day")),IF(POS_Time&lt;=($D152-CONVERT(Variables!$C$12+1,"sec","day")),IF(POS_Q&lt;=Variables!$C$11,POS_Long)))))</f>
        <v/>
      </c>
      <c r="R152" s="32" t="str">
        <f t="array" ref="R152">IF($B152="","",STDEV(IF(POS_Time&gt;=($C152+CONVERT(Variables!$C$12,"sec","day")),IF(POS_Time&lt;=($D152-CONVERT(Variables!$C$12+1,"sec","day")),IF(POS_Q&lt;=Variables!$C$11,POS_elev)))))</f>
        <v/>
      </c>
      <c r="S152" s="30" t="str">
        <f>IF($B152="","",'Rover CSV Data'!K152)</f>
        <v/>
      </c>
      <c r="T152" s="26" t="str">
        <f>IF($B152="","",COUNTIFS(POS_Time,"&gt;="&amp;($C152+CONVERT(Variables!$C$12,"sec","day")),POS_Time,"&lt;="&amp;($D152-CONVERT(Variables!$C$12+1,"sec","day")),POS_Q,"&lt;="&amp;Variables!$C$11))</f>
        <v/>
      </c>
      <c r="U152" s="26" t="str">
        <f>IF($B152="","",IF(1&gt;Variables!$C$11,0,COUNTIFS(POS_Time,"&gt;="&amp;($C152+CONVERT(Variables!$C$12,"sec","day")),POS_Time,"&lt;="&amp;($D152-CONVERT(Variables!$C$12+1,"sec","day")),POS_Q,"=1")))</f>
        <v/>
      </c>
      <c r="V152" s="26" t="str">
        <f>IF($B152="","",IF(2&gt;Variables!$C$11,0,COUNTIFS(POS_Time,"&gt;="&amp;($C152+CONVERT(Variables!$C$12,"sec","day")),POS_Time,"&lt;="&amp;($D152-CONVERT(Variables!$C$12+1,"sec","day")),POS_Q,"=2")))</f>
        <v/>
      </c>
      <c r="W152" s="26" t="str">
        <f>IF($B152="","",IF(3&gt;Variables!$C$11,0,COUNTIFS(POS_Time,"&gt;="&amp;($C152+CONVERT(Variables!$C$12,"sec","day")),POS_Time,"&lt;="&amp;($D152-CONVERT(Variables!$C$12+1,"sec","day")),POS_Q,"=3")))</f>
        <v/>
      </c>
      <c r="X152" s="26" t="str">
        <f>IF($B152="","",IF(4&gt;Variables!$C$11,0,COUNTIFS(POS_Time,"&gt;="&amp;($C152+CONVERT(Variables!$C$12,"sec","day")),POS_Time,"&lt;="&amp;($D152-CONVERT(Variables!$C$12+1,"sec","day")),POS_Q,"=4")))</f>
        <v/>
      </c>
      <c r="Y152" s="26" t="str">
        <f>IF($B152="","",IF(5&gt;Variables!$C$11,0,COUNTIFS(POS_Time,"&gt;="&amp;($C152+CONVERT(Variables!$C$12,"sec","day")),POS_Time,"&lt;="&amp;($D152-CONVERT(Variables!$C$12+1,"sec","day")),POS_Q,"=5")))</f>
        <v/>
      </c>
      <c r="Z152" s="26" t="str">
        <f>IF($B152="","",IF(6&gt;Variables!$C$11,0,COUNTIFS(POS_Time,"&gt;="&amp;($C152+CONVERT(Variables!$C$12,"sec","day")),POS_Time,"&lt;="&amp;($D152-CONVERT(Variables!$C$12+1,"sec","day")),POS_Q,"=6")))</f>
        <v/>
      </c>
    </row>
    <row r="153" spans="1:26" x14ac:dyDescent="0.25">
      <c r="A153" s="2">
        <v>152</v>
      </c>
      <c r="B153" s="27" t="str">
        <f>IF((ROW()-1)&lt;=RoverStations,'Rover CSV Data'!B153,"")</f>
        <v/>
      </c>
      <c r="C153" s="28" t="str">
        <f>IF($B153="","",DATEVALUE(LEFT('Rover CSV Data'!F153,FIND(" ",'Rover CSV Data'!F153)-1))+TIMEVALUE(MID('Rover CSV Data'!F153,LEN('Rover CSV Data'!F153)-FIND(" ",'Rover CSV Data'!F153),(FIND(" UTC",'Rover CSV Data'!F153))-(LEN('Rover CSV Data'!F153)-FIND(" ",'Rover CSV Data'!F153)))))</f>
        <v/>
      </c>
      <c r="D153" s="28" t="str">
        <f>IF($B153="","",DATEVALUE(LEFT('Rover CSV Data'!G153,FIND(" ",'Rover CSV Data'!G153)-1))+TIMEVALUE(MID('Rover CSV Data'!G153,LEN('Rover CSV Data'!G153)-FIND(" ",'Rover CSV Data'!G153),(FIND(" UTC",'Rover CSV Data'!G153))-(LEN('Rover CSV Data'!G153)-FIND(" ",'Rover CSV Data'!G153)))))</f>
        <v/>
      </c>
      <c r="E153" s="29" t="str">
        <f t="shared" si="3"/>
        <v/>
      </c>
      <c r="F153" s="26" t="str">
        <f>IF($B153="","",'Rover CSV Data'!J153)</f>
        <v/>
      </c>
      <c r="G153" s="26" t="str">
        <f>IF($B153="","",AVERAGEIFS(POS_Lat,POS_Time,"&gt;="&amp;($C153+CONVERT(Variables!$C$12,"sec","day")),POS_Time,"&lt;="&amp;($D153-CONVERT(Variables!$C$12+1,"sec","day")),POS_Q,"&lt;="&amp;Variables!$C$11))</f>
        <v/>
      </c>
      <c r="H153" s="26" t="str">
        <f>IF($B153="","",AVERAGEIFS(POS_Long,POS_Time,"&gt;="&amp;($C153+CONVERT(Variables!$C$12,"sec","day")),POS_Time,"&lt;="&amp;($D153-CONVERT(Variables!$C$12+1,"sec","day")),POS_Q,"&lt;="&amp;Variables!$C$11))</f>
        <v/>
      </c>
      <c r="I153" s="30" t="str">
        <f>IF($B153="","",AVERAGEIFS(POS_elev,POS_Time,"&gt;="&amp;($C153+CONVERT(Variables!$C$12,"sec","day")),POS_Time,"&lt;="&amp;($D153-CONVERT(Variables!$C$12+1,"sec","day")),POS_Q,"&lt;="&amp;Variables!$C$11)-S153)</f>
        <v/>
      </c>
      <c r="J153" s="26" t="str">
        <f>IF($B153="","",'Rover CSV Data'!D153)</f>
        <v/>
      </c>
      <c r="K153" s="26" t="str">
        <f>IF($B153="","",'Rover CSV Data'!C153)</f>
        <v/>
      </c>
      <c r="L153" s="26" t="str">
        <f>IF($B153="","",'Rover CSV Data'!E153)</f>
        <v/>
      </c>
      <c r="M153" s="30" t="str">
        <f>IF($B153="","",AVERAGEIFS(sdn,POS_Time,"&gt;="&amp;($C153+CONVERT(Variables!$C$12,"sec","day")),POS_Time,"&lt;="&amp;($D153-CONVERT(Variables!$C$12+1,"sec","day")),POS_Q,"&lt;="&amp;Variables!$C$11))</f>
        <v/>
      </c>
      <c r="N153" s="31" t="str">
        <f>IF($B153="","",AVERAGEIFS(sde,POS_Time,"&gt;="&amp;($C153+CONVERT(Variables!$C$12,"sec","day")),POS_Time,"&lt;="&amp;($D153-CONVERT(Variables!$C$12+1,"sec","day")),POS_Q,"&lt;="&amp;Variables!$C$11))</f>
        <v/>
      </c>
      <c r="O153" s="31" t="str">
        <f>IF($B153="","",AVERAGEIFS(sdu,POS_Time,"&gt;="&amp;($C153+CONVERT(Variables!$C$12,"sec","day")),POS_Time,"&lt;="&amp;($D153-CONVERT(Variables!$C$12+1,"sec","day")),POS_Q,"&lt;="&amp;Variables!$C$11))</f>
        <v/>
      </c>
      <c r="P153" s="32" t="str">
        <f t="array" ref="P153">IF($B153="","",STDEV(IF(POS_Time&gt;=($C153+CONVERT(Variables!$C$12,"sec","day")),IF(POS_Time&lt;=($D153-CONVERT(Variables!$C$12+1,"sec","day")),IF(POS_Q&lt;=Variables!$C$11,POS_Lat)))))</f>
        <v/>
      </c>
      <c r="Q153" s="32" t="str">
        <f t="array" ref="Q153">IF($B153="","",STDEV(IF(POS_Time&gt;=($C153+CONVERT(Variables!$C$12,"sec","day")),IF(POS_Time&lt;=($D153-CONVERT(Variables!$C$12+1,"sec","day")),IF(POS_Q&lt;=Variables!$C$11,POS_Long)))))</f>
        <v/>
      </c>
      <c r="R153" s="32" t="str">
        <f t="array" ref="R153">IF($B153="","",STDEV(IF(POS_Time&gt;=($C153+CONVERT(Variables!$C$12,"sec","day")),IF(POS_Time&lt;=($D153-CONVERT(Variables!$C$12+1,"sec","day")),IF(POS_Q&lt;=Variables!$C$11,POS_elev)))))</f>
        <v/>
      </c>
      <c r="S153" s="30" t="str">
        <f>IF($B153="","",'Rover CSV Data'!K153)</f>
        <v/>
      </c>
      <c r="T153" s="26" t="str">
        <f>IF($B153="","",COUNTIFS(POS_Time,"&gt;="&amp;($C153+CONVERT(Variables!$C$12,"sec","day")),POS_Time,"&lt;="&amp;($D153-CONVERT(Variables!$C$12+1,"sec","day")),POS_Q,"&lt;="&amp;Variables!$C$11))</f>
        <v/>
      </c>
      <c r="U153" s="26" t="str">
        <f>IF($B153="","",IF(1&gt;Variables!$C$11,0,COUNTIFS(POS_Time,"&gt;="&amp;($C153+CONVERT(Variables!$C$12,"sec","day")),POS_Time,"&lt;="&amp;($D153-CONVERT(Variables!$C$12+1,"sec","day")),POS_Q,"=1")))</f>
        <v/>
      </c>
      <c r="V153" s="26" t="str">
        <f>IF($B153="","",IF(2&gt;Variables!$C$11,0,COUNTIFS(POS_Time,"&gt;="&amp;($C153+CONVERT(Variables!$C$12,"sec","day")),POS_Time,"&lt;="&amp;($D153-CONVERT(Variables!$C$12+1,"sec","day")),POS_Q,"=2")))</f>
        <v/>
      </c>
      <c r="W153" s="26" t="str">
        <f>IF($B153="","",IF(3&gt;Variables!$C$11,0,COUNTIFS(POS_Time,"&gt;="&amp;($C153+CONVERT(Variables!$C$12,"sec","day")),POS_Time,"&lt;="&amp;($D153-CONVERT(Variables!$C$12+1,"sec","day")),POS_Q,"=3")))</f>
        <v/>
      </c>
      <c r="X153" s="26" t="str">
        <f>IF($B153="","",IF(4&gt;Variables!$C$11,0,COUNTIFS(POS_Time,"&gt;="&amp;($C153+CONVERT(Variables!$C$12,"sec","day")),POS_Time,"&lt;="&amp;($D153-CONVERT(Variables!$C$12+1,"sec","day")),POS_Q,"=4")))</f>
        <v/>
      </c>
      <c r="Y153" s="26" t="str">
        <f>IF($B153="","",IF(5&gt;Variables!$C$11,0,COUNTIFS(POS_Time,"&gt;="&amp;($C153+CONVERT(Variables!$C$12,"sec","day")),POS_Time,"&lt;="&amp;($D153-CONVERT(Variables!$C$12+1,"sec","day")),POS_Q,"=5")))</f>
        <v/>
      </c>
      <c r="Z153" s="26" t="str">
        <f>IF($B153="","",IF(6&gt;Variables!$C$11,0,COUNTIFS(POS_Time,"&gt;="&amp;($C153+CONVERT(Variables!$C$12,"sec","day")),POS_Time,"&lt;="&amp;($D153-CONVERT(Variables!$C$12+1,"sec","day")),POS_Q,"=6")))</f>
        <v/>
      </c>
    </row>
    <row r="154" spans="1:26" x14ac:dyDescent="0.25">
      <c r="A154" s="2">
        <v>153</v>
      </c>
      <c r="B154" s="27" t="str">
        <f>IF((ROW()-1)&lt;=RoverStations,'Rover CSV Data'!B154,"")</f>
        <v/>
      </c>
      <c r="C154" s="28" t="str">
        <f>IF($B154="","",DATEVALUE(LEFT('Rover CSV Data'!F154,FIND(" ",'Rover CSV Data'!F154)-1))+TIMEVALUE(MID('Rover CSV Data'!F154,LEN('Rover CSV Data'!F154)-FIND(" ",'Rover CSV Data'!F154),(FIND(" UTC",'Rover CSV Data'!F154))-(LEN('Rover CSV Data'!F154)-FIND(" ",'Rover CSV Data'!F154)))))</f>
        <v/>
      </c>
      <c r="D154" s="28" t="str">
        <f>IF($B154="","",DATEVALUE(LEFT('Rover CSV Data'!G154,FIND(" ",'Rover CSV Data'!G154)-1))+TIMEVALUE(MID('Rover CSV Data'!G154,LEN('Rover CSV Data'!G154)-FIND(" ",'Rover CSV Data'!G154),(FIND(" UTC",'Rover CSV Data'!G154))-(LEN('Rover CSV Data'!G154)-FIND(" ",'Rover CSV Data'!G154)))))</f>
        <v/>
      </c>
      <c r="E154" s="29" t="str">
        <f t="shared" si="3"/>
        <v/>
      </c>
      <c r="F154" s="26" t="str">
        <f>IF($B154="","",'Rover CSV Data'!J154)</f>
        <v/>
      </c>
      <c r="G154" s="26" t="str">
        <f>IF($B154="","",AVERAGEIFS(POS_Lat,POS_Time,"&gt;="&amp;($C154+CONVERT(Variables!$C$12,"sec","day")),POS_Time,"&lt;="&amp;($D154-CONVERT(Variables!$C$12+1,"sec","day")),POS_Q,"&lt;="&amp;Variables!$C$11))</f>
        <v/>
      </c>
      <c r="H154" s="26" t="str">
        <f>IF($B154="","",AVERAGEIFS(POS_Long,POS_Time,"&gt;="&amp;($C154+CONVERT(Variables!$C$12,"sec","day")),POS_Time,"&lt;="&amp;($D154-CONVERT(Variables!$C$12+1,"sec","day")),POS_Q,"&lt;="&amp;Variables!$C$11))</f>
        <v/>
      </c>
      <c r="I154" s="30" t="str">
        <f>IF($B154="","",AVERAGEIFS(POS_elev,POS_Time,"&gt;="&amp;($C154+CONVERT(Variables!$C$12,"sec","day")),POS_Time,"&lt;="&amp;($D154-CONVERT(Variables!$C$12+1,"sec","day")),POS_Q,"&lt;="&amp;Variables!$C$11)-S154)</f>
        <v/>
      </c>
      <c r="J154" s="26" t="str">
        <f>IF($B154="","",'Rover CSV Data'!D154)</f>
        <v/>
      </c>
      <c r="K154" s="26" t="str">
        <f>IF($B154="","",'Rover CSV Data'!C154)</f>
        <v/>
      </c>
      <c r="L154" s="26" t="str">
        <f>IF($B154="","",'Rover CSV Data'!E154)</f>
        <v/>
      </c>
      <c r="M154" s="30" t="str">
        <f>IF($B154="","",AVERAGEIFS(sdn,POS_Time,"&gt;="&amp;($C154+CONVERT(Variables!$C$12,"sec","day")),POS_Time,"&lt;="&amp;($D154-CONVERT(Variables!$C$12+1,"sec","day")),POS_Q,"&lt;="&amp;Variables!$C$11))</f>
        <v/>
      </c>
      <c r="N154" s="31" t="str">
        <f>IF($B154="","",AVERAGEIFS(sde,POS_Time,"&gt;="&amp;($C154+CONVERT(Variables!$C$12,"sec","day")),POS_Time,"&lt;="&amp;($D154-CONVERT(Variables!$C$12+1,"sec","day")),POS_Q,"&lt;="&amp;Variables!$C$11))</f>
        <v/>
      </c>
      <c r="O154" s="31" t="str">
        <f>IF($B154="","",AVERAGEIFS(sdu,POS_Time,"&gt;="&amp;($C154+CONVERT(Variables!$C$12,"sec","day")),POS_Time,"&lt;="&amp;($D154-CONVERT(Variables!$C$12+1,"sec","day")),POS_Q,"&lt;="&amp;Variables!$C$11))</f>
        <v/>
      </c>
      <c r="P154" s="32" t="str">
        <f t="array" ref="P154">IF($B154="","",STDEV(IF(POS_Time&gt;=($C154+CONVERT(Variables!$C$12,"sec","day")),IF(POS_Time&lt;=($D154-CONVERT(Variables!$C$12+1,"sec","day")),IF(POS_Q&lt;=Variables!$C$11,POS_Lat)))))</f>
        <v/>
      </c>
      <c r="Q154" s="32" t="str">
        <f t="array" ref="Q154">IF($B154="","",STDEV(IF(POS_Time&gt;=($C154+CONVERT(Variables!$C$12,"sec","day")),IF(POS_Time&lt;=($D154-CONVERT(Variables!$C$12+1,"sec","day")),IF(POS_Q&lt;=Variables!$C$11,POS_Long)))))</f>
        <v/>
      </c>
      <c r="R154" s="32" t="str">
        <f t="array" ref="R154">IF($B154="","",STDEV(IF(POS_Time&gt;=($C154+CONVERT(Variables!$C$12,"sec","day")),IF(POS_Time&lt;=($D154-CONVERT(Variables!$C$12+1,"sec","day")),IF(POS_Q&lt;=Variables!$C$11,POS_elev)))))</f>
        <v/>
      </c>
      <c r="S154" s="30" t="str">
        <f>IF($B154="","",'Rover CSV Data'!K154)</f>
        <v/>
      </c>
      <c r="T154" s="26" t="str">
        <f>IF($B154="","",COUNTIFS(POS_Time,"&gt;="&amp;($C154+CONVERT(Variables!$C$12,"sec","day")),POS_Time,"&lt;="&amp;($D154-CONVERT(Variables!$C$12+1,"sec","day")),POS_Q,"&lt;="&amp;Variables!$C$11))</f>
        <v/>
      </c>
      <c r="U154" s="26" t="str">
        <f>IF($B154="","",IF(1&gt;Variables!$C$11,0,COUNTIFS(POS_Time,"&gt;="&amp;($C154+CONVERT(Variables!$C$12,"sec","day")),POS_Time,"&lt;="&amp;($D154-CONVERT(Variables!$C$12+1,"sec","day")),POS_Q,"=1")))</f>
        <v/>
      </c>
      <c r="V154" s="26" t="str">
        <f>IF($B154="","",IF(2&gt;Variables!$C$11,0,COUNTIFS(POS_Time,"&gt;="&amp;($C154+CONVERT(Variables!$C$12,"sec","day")),POS_Time,"&lt;="&amp;($D154-CONVERT(Variables!$C$12+1,"sec","day")),POS_Q,"=2")))</f>
        <v/>
      </c>
      <c r="W154" s="26" t="str">
        <f>IF($B154="","",IF(3&gt;Variables!$C$11,0,COUNTIFS(POS_Time,"&gt;="&amp;($C154+CONVERT(Variables!$C$12,"sec","day")),POS_Time,"&lt;="&amp;($D154-CONVERT(Variables!$C$12+1,"sec","day")),POS_Q,"=3")))</f>
        <v/>
      </c>
      <c r="X154" s="26" t="str">
        <f>IF($B154="","",IF(4&gt;Variables!$C$11,0,COUNTIFS(POS_Time,"&gt;="&amp;($C154+CONVERT(Variables!$C$12,"sec","day")),POS_Time,"&lt;="&amp;($D154-CONVERT(Variables!$C$12+1,"sec","day")),POS_Q,"=4")))</f>
        <v/>
      </c>
      <c r="Y154" s="26" t="str">
        <f>IF($B154="","",IF(5&gt;Variables!$C$11,0,COUNTIFS(POS_Time,"&gt;="&amp;($C154+CONVERT(Variables!$C$12,"sec","day")),POS_Time,"&lt;="&amp;($D154-CONVERT(Variables!$C$12+1,"sec","day")),POS_Q,"=5")))</f>
        <v/>
      </c>
      <c r="Z154" s="26" t="str">
        <f>IF($B154="","",IF(6&gt;Variables!$C$11,0,COUNTIFS(POS_Time,"&gt;="&amp;($C154+CONVERT(Variables!$C$12,"sec","day")),POS_Time,"&lt;="&amp;($D154-CONVERT(Variables!$C$12+1,"sec","day")),POS_Q,"=6")))</f>
        <v/>
      </c>
    </row>
    <row r="155" spans="1:26" x14ac:dyDescent="0.25">
      <c r="A155" s="2">
        <v>154</v>
      </c>
      <c r="B155" s="27" t="str">
        <f>IF((ROW()-1)&lt;=RoverStations,'Rover CSV Data'!B155,"")</f>
        <v/>
      </c>
      <c r="C155" s="28" t="str">
        <f>IF($B155="","",DATEVALUE(LEFT('Rover CSV Data'!F155,FIND(" ",'Rover CSV Data'!F155)-1))+TIMEVALUE(MID('Rover CSV Data'!F155,LEN('Rover CSV Data'!F155)-FIND(" ",'Rover CSV Data'!F155),(FIND(" UTC",'Rover CSV Data'!F155))-(LEN('Rover CSV Data'!F155)-FIND(" ",'Rover CSV Data'!F155)))))</f>
        <v/>
      </c>
      <c r="D155" s="28" t="str">
        <f>IF($B155="","",DATEVALUE(LEFT('Rover CSV Data'!G155,FIND(" ",'Rover CSV Data'!G155)-1))+TIMEVALUE(MID('Rover CSV Data'!G155,LEN('Rover CSV Data'!G155)-FIND(" ",'Rover CSV Data'!G155),(FIND(" UTC",'Rover CSV Data'!G155))-(LEN('Rover CSV Data'!G155)-FIND(" ",'Rover CSV Data'!G155)))))</f>
        <v/>
      </c>
      <c r="E155" s="29" t="str">
        <f t="shared" si="3"/>
        <v/>
      </c>
      <c r="F155" s="26" t="str">
        <f>IF($B155="","",'Rover CSV Data'!J155)</f>
        <v/>
      </c>
      <c r="G155" s="26" t="str">
        <f>IF($B155="","",AVERAGEIFS(POS_Lat,POS_Time,"&gt;="&amp;($C155+CONVERT(Variables!$C$12,"sec","day")),POS_Time,"&lt;="&amp;($D155-CONVERT(Variables!$C$12+1,"sec","day")),POS_Q,"&lt;="&amp;Variables!$C$11))</f>
        <v/>
      </c>
      <c r="H155" s="26" t="str">
        <f>IF($B155="","",AVERAGEIFS(POS_Long,POS_Time,"&gt;="&amp;($C155+CONVERT(Variables!$C$12,"sec","day")),POS_Time,"&lt;="&amp;($D155-CONVERT(Variables!$C$12+1,"sec","day")),POS_Q,"&lt;="&amp;Variables!$C$11))</f>
        <v/>
      </c>
      <c r="I155" s="30" t="str">
        <f>IF($B155="","",AVERAGEIFS(POS_elev,POS_Time,"&gt;="&amp;($C155+CONVERT(Variables!$C$12,"sec","day")),POS_Time,"&lt;="&amp;($D155-CONVERT(Variables!$C$12+1,"sec","day")),POS_Q,"&lt;="&amp;Variables!$C$11)-S155)</f>
        <v/>
      </c>
      <c r="J155" s="26" t="str">
        <f>IF($B155="","",'Rover CSV Data'!D155)</f>
        <v/>
      </c>
      <c r="K155" s="26" t="str">
        <f>IF($B155="","",'Rover CSV Data'!C155)</f>
        <v/>
      </c>
      <c r="L155" s="26" t="str">
        <f>IF($B155="","",'Rover CSV Data'!E155)</f>
        <v/>
      </c>
      <c r="M155" s="30" t="str">
        <f>IF($B155="","",AVERAGEIFS(sdn,POS_Time,"&gt;="&amp;($C155+CONVERT(Variables!$C$12,"sec","day")),POS_Time,"&lt;="&amp;($D155-CONVERT(Variables!$C$12+1,"sec","day")),POS_Q,"&lt;="&amp;Variables!$C$11))</f>
        <v/>
      </c>
      <c r="N155" s="31" t="str">
        <f>IF($B155="","",AVERAGEIFS(sde,POS_Time,"&gt;="&amp;($C155+CONVERT(Variables!$C$12,"sec","day")),POS_Time,"&lt;="&amp;($D155-CONVERT(Variables!$C$12+1,"sec","day")),POS_Q,"&lt;="&amp;Variables!$C$11))</f>
        <v/>
      </c>
      <c r="O155" s="31" t="str">
        <f>IF($B155="","",AVERAGEIFS(sdu,POS_Time,"&gt;="&amp;($C155+CONVERT(Variables!$C$12,"sec","day")),POS_Time,"&lt;="&amp;($D155-CONVERT(Variables!$C$12+1,"sec","day")),POS_Q,"&lt;="&amp;Variables!$C$11))</f>
        <v/>
      </c>
      <c r="P155" s="32" t="str">
        <f t="array" ref="P155">IF($B155="","",STDEV(IF(POS_Time&gt;=($C155+CONVERT(Variables!$C$12,"sec","day")),IF(POS_Time&lt;=($D155-CONVERT(Variables!$C$12+1,"sec","day")),IF(POS_Q&lt;=Variables!$C$11,POS_Lat)))))</f>
        <v/>
      </c>
      <c r="Q155" s="32" t="str">
        <f t="array" ref="Q155">IF($B155="","",STDEV(IF(POS_Time&gt;=($C155+CONVERT(Variables!$C$12,"sec","day")),IF(POS_Time&lt;=($D155-CONVERT(Variables!$C$12+1,"sec","day")),IF(POS_Q&lt;=Variables!$C$11,POS_Long)))))</f>
        <v/>
      </c>
      <c r="R155" s="32" t="str">
        <f t="array" ref="R155">IF($B155="","",STDEV(IF(POS_Time&gt;=($C155+CONVERT(Variables!$C$12,"sec","day")),IF(POS_Time&lt;=($D155-CONVERT(Variables!$C$12+1,"sec","day")),IF(POS_Q&lt;=Variables!$C$11,POS_elev)))))</f>
        <v/>
      </c>
      <c r="S155" s="30" t="str">
        <f>IF($B155="","",'Rover CSV Data'!K155)</f>
        <v/>
      </c>
      <c r="T155" s="26" t="str">
        <f>IF($B155="","",COUNTIFS(POS_Time,"&gt;="&amp;($C155+CONVERT(Variables!$C$12,"sec","day")),POS_Time,"&lt;="&amp;($D155-CONVERT(Variables!$C$12+1,"sec","day")),POS_Q,"&lt;="&amp;Variables!$C$11))</f>
        <v/>
      </c>
      <c r="U155" s="26" t="str">
        <f>IF($B155="","",IF(1&gt;Variables!$C$11,0,COUNTIFS(POS_Time,"&gt;="&amp;($C155+CONVERT(Variables!$C$12,"sec","day")),POS_Time,"&lt;="&amp;($D155-CONVERT(Variables!$C$12+1,"sec","day")),POS_Q,"=1")))</f>
        <v/>
      </c>
      <c r="V155" s="26" t="str">
        <f>IF($B155="","",IF(2&gt;Variables!$C$11,0,COUNTIFS(POS_Time,"&gt;="&amp;($C155+CONVERT(Variables!$C$12,"sec","day")),POS_Time,"&lt;="&amp;($D155-CONVERT(Variables!$C$12+1,"sec","day")),POS_Q,"=2")))</f>
        <v/>
      </c>
      <c r="W155" s="26" t="str">
        <f>IF($B155="","",IF(3&gt;Variables!$C$11,0,COUNTIFS(POS_Time,"&gt;="&amp;($C155+CONVERT(Variables!$C$12,"sec","day")),POS_Time,"&lt;="&amp;($D155-CONVERT(Variables!$C$12+1,"sec","day")),POS_Q,"=3")))</f>
        <v/>
      </c>
      <c r="X155" s="26" t="str">
        <f>IF($B155="","",IF(4&gt;Variables!$C$11,0,COUNTIFS(POS_Time,"&gt;="&amp;($C155+CONVERT(Variables!$C$12,"sec","day")),POS_Time,"&lt;="&amp;($D155-CONVERT(Variables!$C$12+1,"sec","day")),POS_Q,"=4")))</f>
        <v/>
      </c>
      <c r="Y155" s="26" t="str">
        <f>IF($B155="","",IF(5&gt;Variables!$C$11,0,COUNTIFS(POS_Time,"&gt;="&amp;($C155+CONVERT(Variables!$C$12,"sec","day")),POS_Time,"&lt;="&amp;($D155-CONVERT(Variables!$C$12+1,"sec","day")),POS_Q,"=5")))</f>
        <v/>
      </c>
      <c r="Z155" s="26" t="str">
        <f>IF($B155="","",IF(6&gt;Variables!$C$11,0,COUNTIFS(POS_Time,"&gt;="&amp;($C155+CONVERT(Variables!$C$12,"sec","day")),POS_Time,"&lt;="&amp;($D155-CONVERT(Variables!$C$12+1,"sec","day")),POS_Q,"=6")))</f>
        <v/>
      </c>
    </row>
    <row r="156" spans="1:26" x14ac:dyDescent="0.25">
      <c r="A156" s="2">
        <v>155</v>
      </c>
      <c r="B156" s="27" t="str">
        <f>IF((ROW()-1)&lt;=RoverStations,'Rover CSV Data'!B156,"")</f>
        <v/>
      </c>
      <c r="C156" s="28" t="str">
        <f>IF($B156="","",DATEVALUE(LEFT('Rover CSV Data'!F156,FIND(" ",'Rover CSV Data'!F156)-1))+TIMEVALUE(MID('Rover CSV Data'!F156,LEN('Rover CSV Data'!F156)-FIND(" ",'Rover CSV Data'!F156),(FIND(" UTC",'Rover CSV Data'!F156))-(LEN('Rover CSV Data'!F156)-FIND(" ",'Rover CSV Data'!F156)))))</f>
        <v/>
      </c>
      <c r="D156" s="28" t="str">
        <f>IF($B156="","",DATEVALUE(LEFT('Rover CSV Data'!G156,FIND(" ",'Rover CSV Data'!G156)-1))+TIMEVALUE(MID('Rover CSV Data'!G156,LEN('Rover CSV Data'!G156)-FIND(" ",'Rover CSV Data'!G156),(FIND(" UTC",'Rover CSV Data'!G156))-(LEN('Rover CSV Data'!G156)-FIND(" ",'Rover CSV Data'!G156)))))</f>
        <v/>
      </c>
      <c r="E156" s="29" t="str">
        <f t="shared" si="3"/>
        <v/>
      </c>
      <c r="F156" s="26" t="str">
        <f>IF($B156="","",'Rover CSV Data'!J156)</f>
        <v/>
      </c>
      <c r="G156" s="26" t="str">
        <f>IF($B156="","",AVERAGEIFS(POS_Lat,POS_Time,"&gt;="&amp;($C156+CONVERT(Variables!$C$12,"sec","day")),POS_Time,"&lt;="&amp;($D156-CONVERT(Variables!$C$12+1,"sec","day")),POS_Q,"&lt;="&amp;Variables!$C$11))</f>
        <v/>
      </c>
      <c r="H156" s="26" t="str">
        <f>IF($B156="","",AVERAGEIFS(POS_Long,POS_Time,"&gt;="&amp;($C156+CONVERT(Variables!$C$12,"sec","day")),POS_Time,"&lt;="&amp;($D156-CONVERT(Variables!$C$12+1,"sec","day")),POS_Q,"&lt;="&amp;Variables!$C$11))</f>
        <v/>
      </c>
      <c r="I156" s="30" t="str">
        <f>IF($B156="","",AVERAGEIFS(POS_elev,POS_Time,"&gt;="&amp;($C156+CONVERT(Variables!$C$12,"sec","day")),POS_Time,"&lt;="&amp;($D156-CONVERT(Variables!$C$12+1,"sec","day")),POS_Q,"&lt;="&amp;Variables!$C$11)-S156)</f>
        <v/>
      </c>
      <c r="J156" s="26" t="str">
        <f>IF($B156="","",'Rover CSV Data'!D156)</f>
        <v/>
      </c>
      <c r="K156" s="26" t="str">
        <f>IF($B156="","",'Rover CSV Data'!C156)</f>
        <v/>
      </c>
      <c r="L156" s="26" t="str">
        <f>IF($B156="","",'Rover CSV Data'!E156)</f>
        <v/>
      </c>
      <c r="M156" s="30" t="str">
        <f>IF($B156="","",AVERAGEIFS(sdn,POS_Time,"&gt;="&amp;($C156+CONVERT(Variables!$C$12,"sec","day")),POS_Time,"&lt;="&amp;($D156-CONVERT(Variables!$C$12+1,"sec","day")),POS_Q,"&lt;="&amp;Variables!$C$11))</f>
        <v/>
      </c>
      <c r="N156" s="31" t="str">
        <f>IF($B156="","",AVERAGEIFS(sde,POS_Time,"&gt;="&amp;($C156+CONVERT(Variables!$C$12,"sec","day")),POS_Time,"&lt;="&amp;($D156-CONVERT(Variables!$C$12+1,"sec","day")),POS_Q,"&lt;="&amp;Variables!$C$11))</f>
        <v/>
      </c>
      <c r="O156" s="31" t="str">
        <f>IF($B156="","",AVERAGEIFS(sdu,POS_Time,"&gt;="&amp;($C156+CONVERT(Variables!$C$12,"sec","day")),POS_Time,"&lt;="&amp;($D156-CONVERT(Variables!$C$12+1,"sec","day")),POS_Q,"&lt;="&amp;Variables!$C$11))</f>
        <v/>
      </c>
      <c r="P156" s="32" t="str">
        <f t="array" ref="P156">IF($B156="","",STDEV(IF(POS_Time&gt;=($C156+CONVERT(Variables!$C$12,"sec","day")),IF(POS_Time&lt;=($D156-CONVERT(Variables!$C$12+1,"sec","day")),IF(POS_Q&lt;=Variables!$C$11,POS_Lat)))))</f>
        <v/>
      </c>
      <c r="Q156" s="32" t="str">
        <f t="array" ref="Q156">IF($B156="","",STDEV(IF(POS_Time&gt;=($C156+CONVERT(Variables!$C$12,"sec","day")),IF(POS_Time&lt;=($D156-CONVERT(Variables!$C$12+1,"sec","day")),IF(POS_Q&lt;=Variables!$C$11,POS_Long)))))</f>
        <v/>
      </c>
      <c r="R156" s="32" t="str">
        <f t="array" ref="R156">IF($B156="","",STDEV(IF(POS_Time&gt;=($C156+CONVERT(Variables!$C$12,"sec","day")),IF(POS_Time&lt;=($D156-CONVERT(Variables!$C$12+1,"sec","day")),IF(POS_Q&lt;=Variables!$C$11,POS_elev)))))</f>
        <v/>
      </c>
      <c r="S156" s="30" t="str">
        <f>IF($B156="","",'Rover CSV Data'!K156)</f>
        <v/>
      </c>
      <c r="T156" s="26" t="str">
        <f>IF($B156="","",COUNTIFS(POS_Time,"&gt;="&amp;($C156+CONVERT(Variables!$C$12,"sec","day")),POS_Time,"&lt;="&amp;($D156-CONVERT(Variables!$C$12+1,"sec","day")),POS_Q,"&lt;="&amp;Variables!$C$11))</f>
        <v/>
      </c>
      <c r="U156" s="26" t="str">
        <f>IF($B156="","",IF(1&gt;Variables!$C$11,0,COUNTIFS(POS_Time,"&gt;="&amp;($C156+CONVERT(Variables!$C$12,"sec","day")),POS_Time,"&lt;="&amp;($D156-CONVERT(Variables!$C$12+1,"sec","day")),POS_Q,"=1")))</f>
        <v/>
      </c>
      <c r="V156" s="26" t="str">
        <f>IF($B156="","",IF(2&gt;Variables!$C$11,0,COUNTIFS(POS_Time,"&gt;="&amp;($C156+CONVERT(Variables!$C$12,"sec","day")),POS_Time,"&lt;="&amp;($D156-CONVERT(Variables!$C$12+1,"sec","day")),POS_Q,"=2")))</f>
        <v/>
      </c>
      <c r="W156" s="26" t="str">
        <f>IF($B156="","",IF(3&gt;Variables!$C$11,0,COUNTIFS(POS_Time,"&gt;="&amp;($C156+CONVERT(Variables!$C$12,"sec","day")),POS_Time,"&lt;="&amp;($D156-CONVERT(Variables!$C$12+1,"sec","day")),POS_Q,"=3")))</f>
        <v/>
      </c>
      <c r="X156" s="26" t="str">
        <f>IF($B156="","",IF(4&gt;Variables!$C$11,0,COUNTIFS(POS_Time,"&gt;="&amp;($C156+CONVERT(Variables!$C$12,"sec","day")),POS_Time,"&lt;="&amp;($D156-CONVERT(Variables!$C$12+1,"sec","day")),POS_Q,"=4")))</f>
        <v/>
      </c>
      <c r="Y156" s="26" t="str">
        <f>IF($B156="","",IF(5&gt;Variables!$C$11,0,COUNTIFS(POS_Time,"&gt;="&amp;($C156+CONVERT(Variables!$C$12,"sec","day")),POS_Time,"&lt;="&amp;($D156-CONVERT(Variables!$C$12+1,"sec","day")),POS_Q,"=5")))</f>
        <v/>
      </c>
      <c r="Z156" s="26" t="str">
        <f>IF($B156="","",IF(6&gt;Variables!$C$11,0,COUNTIFS(POS_Time,"&gt;="&amp;($C156+CONVERT(Variables!$C$12,"sec","day")),POS_Time,"&lt;="&amp;($D156-CONVERT(Variables!$C$12+1,"sec","day")),POS_Q,"=6")))</f>
        <v/>
      </c>
    </row>
    <row r="157" spans="1:26" x14ac:dyDescent="0.25">
      <c r="A157" s="2">
        <v>156</v>
      </c>
      <c r="B157" s="27" t="str">
        <f>IF((ROW()-1)&lt;=RoverStations,'Rover CSV Data'!B157,"")</f>
        <v/>
      </c>
      <c r="C157" s="28" t="str">
        <f>IF($B157="","",DATEVALUE(LEFT('Rover CSV Data'!F157,FIND(" ",'Rover CSV Data'!F157)-1))+TIMEVALUE(MID('Rover CSV Data'!F157,LEN('Rover CSV Data'!F157)-FIND(" ",'Rover CSV Data'!F157),(FIND(" UTC",'Rover CSV Data'!F157))-(LEN('Rover CSV Data'!F157)-FIND(" ",'Rover CSV Data'!F157)))))</f>
        <v/>
      </c>
      <c r="D157" s="28" t="str">
        <f>IF($B157="","",DATEVALUE(LEFT('Rover CSV Data'!G157,FIND(" ",'Rover CSV Data'!G157)-1))+TIMEVALUE(MID('Rover CSV Data'!G157,LEN('Rover CSV Data'!G157)-FIND(" ",'Rover CSV Data'!G157),(FIND(" UTC",'Rover CSV Data'!G157))-(LEN('Rover CSV Data'!G157)-FIND(" ",'Rover CSV Data'!G157)))))</f>
        <v/>
      </c>
      <c r="E157" s="29" t="str">
        <f t="shared" si="3"/>
        <v/>
      </c>
      <c r="F157" s="26" t="str">
        <f>IF($B157="","",'Rover CSV Data'!J157)</f>
        <v/>
      </c>
      <c r="G157" s="26" t="str">
        <f>IF($B157="","",AVERAGEIFS(POS_Lat,POS_Time,"&gt;="&amp;($C157+CONVERT(Variables!$C$12,"sec","day")),POS_Time,"&lt;="&amp;($D157-CONVERT(Variables!$C$12+1,"sec","day")),POS_Q,"&lt;="&amp;Variables!$C$11))</f>
        <v/>
      </c>
      <c r="H157" s="26" t="str">
        <f>IF($B157="","",AVERAGEIFS(POS_Long,POS_Time,"&gt;="&amp;($C157+CONVERT(Variables!$C$12,"sec","day")),POS_Time,"&lt;="&amp;($D157-CONVERT(Variables!$C$12+1,"sec","day")),POS_Q,"&lt;="&amp;Variables!$C$11))</f>
        <v/>
      </c>
      <c r="I157" s="30" t="str">
        <f>IF($B157="","",AVERAGEIFS(POS_elev,POS_Time,"&gt;="&amp;($C157+CONVERT(Variables!$C$12,"sec","day")),POS_Time,"&lt;="&amp;($D157-CONVERT(Variables!$C$12+1,"sec","day")),POS_Q,"&lt;="&amp;Variables!$C$11)-S157)</f>
        <v/>
      </c>
      <c r="J157" s="26" t="str">
        <f>IF($B157="","",'Rover CSV Data'!D157)</f>
        <v/>
      </c>
      <c r="K157" s="26" t="str">
        <f>IF($B157="","",'Rover CSV Data'!C157)</f>
        <v/>
      </c>
      <c r="L157" s="26" t="str">
        <f>IF($B157="","",'Rover CSV Data'!E157)</f>
        <v/>
      </c>
      <c r="M157" s="30" t="str">
        <f>IF($B157="","",AVERAGEIFS(sdn,POS_Time,"&gt;="&amp;($C157+CONVERT(Variables!$C$12,"sec","day")),POS_Time,"&lt;="&amp;($D157-CONVERT(Variables!$C$12+1,"sec","day")),POS_Q,"&lt;="&amp;Variables!$C$11))</f>
        <v/>
      </c>
      <c r="N157" s="31" t="str">
        <f>IF($B157="","",AVERAGEIFS(sde,POS_Time,"&gt;="&amp;($C157+CONVERT(Variables!$C$12,"sec","day")),POS_Time,"&lt;="&amp;($D157-CONVERT(Variables!$C$12+1,"sec","day")),POS_Q,"&lt;="&amp;Variables!$C$11))</f>
        <v/>
      </c>
      <c r="O157" s="31" t="str">
        <f>IF($B157="","",AVERAGEIFS(sdu,POS_Time,"&gt;="&amp;($C157+CONVERT(Variables!$C$12,"sec","day")),POS_Time,"&lt;="&amp;($D157-CONVERT(Variables!$C$12+1,"sec","day")),POS_Q,"&lt;="&amp;Variables!$C$11))</f>
        <v/>
      </c>
      <c r="P157" s="32" t="str">
        <f t="array" ref="P157">IF($B157="","",STDEV(IF(POS_Time&gt;=($C157+CONVERT(Variables!$C$12,"sec","day")),IF(POS_Time&lt;=($D157-CONVERT(Variables!$C$12+1,"sec","day")),IF(POS_Q&lt;=Variables!$C$11,POS_Lat)))))</f>
        <v/>
      </c>
      <c r="Q157" s="32" t="str">
        <f t="array" ref="Q157">IF($B157="","",STDEV(IF(POS_Time&gt;=($C157+CONVERT(Variables!$C$12,"sec","day")),IF(POS_Time&lt;=($D157-CONVERT(Variables!$C$12+1,"sec","day")),IF(POS_Q&lt;=Variables!$C$11,POS_Long)))))</f>
        <v/>
      </c>
      <c r="R157" s="32" t="str">
        <f t="array" ref="R157">IF($B157="","",STDEV(IF(POS_Time&gt;=($C157+CONVERT(Variables!$C$12,"sec","day")),IF(POS_Time&lt;=($D157-CONVERT(Variables!$C$12+1,"sec","day")),IF(POS_Q&lt;=Variables!$C$11,POS_elev)))))</f>
        <v/>
      </c>
      <c r="S157" s="30" t="str">
        <f>IF($B157="","",'Rover CSV Data'!K157)</f>
        <v/>
      </c>
      <c r="T157" s="26" t="str">
        <f>IF($B157="","",COUNTIFS(POS_Time,"&gt;="&amp;($C157+CONVERT(Variables!$C$12,"sec","day")),POS_Time,"&lt;="&amp;($D157-CONVERT(Variables!$C$12+1,"sec","day")),POS_Q,"&lt;="&amp;Variables!$C$11))</f>
        <v/>
      </c>
      <c r="U157" s="26" t="str">
        <f>IF($B157="","",IF(1&gt;Variables!$C$11,0,COUNTIFS(POS_Time,"&gt;="&amp;($C157+CONVERT(Variables!$C$12,"sec","day")),POS_Time,"&lt;="&amp;($D157-CONVERT(Variables!$C$12+1,"sec","day")),POS_Q,"=1")))</f>
        <v/>
      </c>
      <c r="V157" s="26" t="str">
        <f>IF($B157="","",IF(2&gt;Variables!$C$11,0,COUNTIFS(POS_Time,"&gt;="&amp;($C157+CONVERT(Variables!$C$12,"sec","day")),POS_Time,"&lt;="&amp;($D157-CONVERT(Variables!$C$12+1,"sec","day")),POS_Q,"=2")))</f>
        <v/>
      </c>
      <c r="W157" s="26" t="str">
        <f>IF($B157="","",IF(3&gt;Variables!$C$11,0,COUNTIFS(POS_Time,"&gt;="&amp;($C157+CONVERT(Variables!$C$12,"sec","day")),POS_Time,"&lt;="&amp;($D157-CONVERT(Variables!$C$12+1,"sec","day")),POS_Q,"=3")))</f>
        <v/>
      </c>
      <c r="X157" s="26" t="str">
        <f>IF($B157="","",IF(4&gt;Variables!$C$11,0,COUNTIFS(POS_Time,"&gt;="&amp;($C157+CONVERT(Variables!$C$12,"sec","day")),POS_Time,"&lt;="&amp;($D157-CONVERT(Variables!$C$12+1,"sec","day")),POS_Q,"=4")))</f>
        <v/>
      </c>
      <c r="Y157" s="26" t="str">
        <f>IF($B157="","",IF(5&gt;Variables!$C$11,0,COUNTIFS(POS_Time,"&gt;="&amp;($C157+CONVERT(Variables!$C$12,"sec","day")),POS_Time,"&lt;="&amp;($D157-CONVERT(Variables!$C$12+1,"sec","day")),POS_Q,"=5")))</f>
        <v/>
      </c>
      <c r="Z157" s="26" t="str">
        <f>IF($B157="","",IF(6&gt;Variables!$C$11,0,COUNTIFS(POS_Time,"&gt;="&amp;($C157+CONVERT(Variables!$C$12,"sec","day")),POS_Time,"&lt;="&amp;($D157-CONVERT(Variables!$C$12+1,"sec","day")),POS_Q,"=6")))</f>
        <v/>
      </c>
    </row>
    <row r="158" spans="1:26" x14ac:dyDescent="0.25">
      <c r="A158" s="2">
        <v>157</v>
      </c>
      <c r="B158" s="27" t="str">
        <f>IF((ROW()-1)&lt;=RoverStations,'Rover CSV Data'!B158,"")</f>
        <v/>
      </c>
      <c r="C158" s="28" t="str">
        <f>IF($B158="","",DATEVALUE(LEFT('Rover CSV Data'!F158,FIND(" ",'Rover CSV Data'!F158)-1))+TIMEVALUE(MID('Rover CSV Data'!F158,LEN('Rover CSV Data'!F158)-FIND(" ",'Rover CSV Data'!F158),(FIND(" UTC",'Rover CSV Data'!F158))-(LEN('Rover CSV Data'!F158)-FIND(" ",'Rover CSV Data'!F158)))))</f>
        <v/>
      </c>
      <c r="D158" s="28" t="str">
        <f>IF($B158="","",DATEVALUE(LEFT('Rover CSV Data'!G158,FIND(" ",'Rover CSV Data'!G158)-1))+TIMEVALUE(MID('Rover CSV Data'!G158,LEN('Rover CSV Data'!G158)-FIND(" ",'Rover CSV Data'!G158),(FIND(" UTC",'Rover CSV Data'!G158))-(LEN('Rover CSV Data'!G158)-FIND(" ",'Rover CSV Data'!G158)))))</f>
        <v/>
      </c>
      <c r="E158" s="29" t="str">
        <f t="shared" si="3"/>
        <v/>
      </c>
      <c r="F158" s="26" t="str">
        <f>IF($B158="","",'Rover CSV Data'!J158)</f>
        <v/>
      </c>
      <c r="G158" s="26" t="str">
        <f>IF($B158="","",AVERAGEIFS(POS_Lat,POS_Time,"&gt;="&amp;($C158+CONVERT(Variables!$C$12,"sec","day")),POS_Time,"&lt;="&amp;($D158-CONVERT(Variables!$C$12+1,"sec","day")),POS_Q,"&lt;="&amp;Variables!$C$11))</f>
        <v/>
      </c>
      <c r="H158" s="26" t="str">
        <f>IF($B158="","",AVERAGEIFS(POS_Long,POS_Time,"&gt;="&amp;($C158+CONVERT(Variables!$C$12,"sec","day")),POS_Time,"&lt;="&amp;($D158-CONVERT(Variables!$C$12+1,"sec","day")),POS_Q,"&lt;="&amp;Variables!$C$11))</f>
        <v/>
      </c>
      <c r="I158" s="30" t="str">
        <f>IF($B158="","",AVERAGEIFS(POS_elev,POS_Time,"&gt;="&amp;($C158+CONVERT(Variables!$C$12,"sec","day")),POS_Time,"&lt;="&amp;($D158-CONVERT(Variables!$C$12+1,"sec","day")),POS_Q,"&lt;="&amp;Variables!$C$11)-S158)</f>
        <v/>
      </c>
      <c r="J158" s="26" t="str">
        <f>IF($B158="","",'Rover CSV Data'!D158)</f>
        <v/>
      </c>
      <c r="K158" s="26" t="str">
        <f>IF($B158="","",'Rover CSV Data'!C158)</f>
        <v/>
      </c>
      <c r="L158" s="26" t="str">
        <f>IF($B158="","",'Rover CSV Data'!E158)</f>
        <v/>
      </c>
      <c r="M158" s="30" t="str">
        <f>IF($B158="","",AVERAGEIFS(sdn,POS_Time,"&gt;="&amp;($C158+CONVERT(Variables!$C$12,"sec","day")),POS_Time,"&lt;="&amp;($D158-CONVERT(Variables!$C$12+1,"sec","day")),POS_Q,"&lt;="&amp;Variables!$C$11))</f>
        <v/>
      </c>
      <c r="N158" s="31" t="str">
        <f>IF($B158="","",AVERAGEIFS(sde,POS_Time,"&gt;="&amp;($C158+CONVERT(Variables!$C$12,"sec","day")),POS_Time,"&lt;="&amp;($D158-CONVERT(Variables!$C$12+1,"sec","day")),POS_Q,"&lt;="&amp;Variables!$C$11))</f>
        <v/>
      </c>
      <c r="O158" s="31" t="str">
        <f>IF($B158="","",AVERAGEIFS(sdu,POS_Time,"&gt;="&amp;($C158+CONVERT(Variables!$C$12,"sec","day")),POS_Time,"&lt;="&amp;($D158-CONVERT(Variables!$C$12+1,"sec","day")),POS_Q,"&lt;="&amp;Variables!$C$11))</f>
        <v/>
      </c>
      <c r="P158" s="32" t="str">
        <f t="array" ref="P158">IF($B158="","",STDEV(IF(POS_Time&gt;=($C158+CONVERT(Variables!$C$12,"sec","day")),IF(POS_Time&lt;=($D158-CONVERT(Variables!$C$12+1,"sec","day")),IF(POS_Q&lt;=Variables!$C$11,POS_Lat)))))</f>
        <v/>
      </c>
      <c r="Q158" s="32" t="str">
        <f t="array" ref="Q158">IF($B158="","",STDEV(IF(POS_Time&gt;=($C158+CONVERT(Variables!$C$12,"sec","day")),IF(POS_Time&lt;=($D158-CONVERT(Variables!$C$12+1,"sec","day")),IF(POS_Q&lt;=Variables!$C$11,POS_Long)))))</f>
        <v/>
      </c>
      <c r="R158" s="32" t="str">
        <f t="array" ref="R158">IF($B158="","",STDEV(IF(POS_Time&gt;=($C158+CONVERT(Variables!$C$12,"sec","day")),IF(POS_Time&lt;=($D158-CONVERT(Variables!$C$12+1,"sec","day")),IF(POS_Q&lt;=Variables!$C$11,POS_elev)))))</f>
        <v/>
      </c>
      <c r="S158" s="30" t="str">
        <f>IF($B158="","",'Rover CSV Data'!K158)</f>
        <v/>
      </c>
      <c r="T158" s="26" t="str">
        <f>IF($B158="","",COUNTIFS(POS_Time,"&gt;="&amp;($C158+CONVERT(Variables!$C$12,"sec","day")),POS_Time,"&lt;="&amp;($D158-CONVERT(Variables!$C$12+1,"sec","day")),POS_Q,"&lt;="&amp;Variables!$C$11))</f>
        <v/>
      </c>
      <c r="U158" s="26" t="str">
        <f>IF($B158="","",IF(1&gt;Variables!$C$11,0,COUNTIFS(POS_Time,"&gt;="&amp;($C158+CONVERT(Variables!$C$12,"sec","day")),POS_Time,"&lt;="&amp;($D158-CONVERT(Variables!$C$12+1,"sec","day")),POS_Q,"=1")))</f>
        <v/>
      </c>
      <c r="V158" s="26" t="str">
        <f>IF($B158="","",IF(2&gt;Variables!$C$11,0,COUNTIFS(POS_Time,"&gt;="&amp;($C158+CONVERT(Variables!$C$12,"sec","day")),POS_Time,"&lt;="&amp;($D158-CONVERT(Variables!$C$12+1,"sec","day")),POS_Q,"=2")))</f>
        <v/>
      </c>
      <c r="W158" s="26" t="str">
        <f>IF($B158="","",IF(3&gt;Variables!$C$11,0,COUNTIFS(POS_Time,"&gt;="&amp;($C158+CONVERT(Variables!$C$12,"sec","day")),POS_Time,"&lt;="&amp;($D158-CONVERT(Variables!$C$12+1,"sec","day")),POS_Q,"=3")))</f>
        <v/>
      </c>
      <c r="X158" s="26" t="str">
        <f>IF($B158="","",IF(4&gt;Variables!$C$11,0,COUNTIFS(POS_Time,"&gt;="&amp;($C158+CONVERT(Variables!$C$12,"sec","day")),POS_Time,"&lt;="&amp;($D158-CONVERT(Variables!$C$12+1,"sec","day")),POS_Q,"=4")))</f>
        <v/>
      </c>
      <c r="Y158" s="26" t="str">
        <f>IF($B158="","",IF(5&gt;Variables!$C$11,0,COUNTIFS(POS_Time,"&gt;="&amp;($C158+CONVERT(Variables!$C$12,"sec","day")),POS_Time,"&lt;="&amp;($D158-CONVERT(Variables!$C$12+1,"sec","day")),POS_Q,"=5")))</f>
        <v/>
      </c>
      <c r="Z158" s="26" t="str">
        <f>IF($B158="","",IF(6&gt;Variables!$C$11,0,COUNTIFS(POS_Time,"&gt;="&amp;($C158+CONVERT(Variables!$C$12,"sec","day")),POS_Time,"&lt;="&amp;($D158-CONVERT(Variables!$C$12+1,"sec","day")),POS_Q,"=6")))</f>
        <v/>
      </c>
    </row>
    <row r="159" spans="1:26" x14ac:dyDescent="0.25">
      <c r="A159" s="2">
        <v>158</v>
      </c>
      <c r="B159" s="27" t="str">
        <f>IF((ROW()-1)&lt;=RoverStations,'Rover CSV Data'!B159,"")</f>
        <v/>
      </c>
      <c r="C159" s="28" t="str">
        <f>IF($B159="","",DATEVALUE(LEFT('Rover CSV Data'!F159,FIND(" ",'Rover CSV Data'!F159)-1))+TIMEVALUE(MID('Rover CSV Data'!F159,LEN('Rover CSV Data'!F159)-FIND(" ",'Rover CSV Data'!F159),(FIND(" UTC",'Rover CSV Data'!F159))-(LEN('Rover CSV Data'!F159)-FIND(" ",'Rover CSV Data'!F159)))))</f>
        <v/>
      </c>
      <c r="D159" s="28" t="str">
        <f>IF($B159="","",DATEVALUE(LEFT('Rover CSV Data'!G159,FIND(" ",'Rover CSV Data'!G159)-1))+TIMEVALUE(MID('Rover CSV Data'!G159,LEN('Rover CSV Data'!G159)-FIND(" ",'Rover CSV Data'!G159),(FIND(" UTC",'Rover CSV Data'!G159))-(LEN('Rover CSV Data'!G159)-FIND(" ",'Rover CSV Data'!G159)))))</f>
        <v/>
      </c>
      <c r="E159" s="29" t="str">
        <f t="shared" si="3"/>
        <v/>
      </c>
      <c r="F159" s="26" t="str">
        <f>IF($B159="","",'Rover CSV Data'!J159)</f>
        <v/>
      </c>
      <c r="G159" s="26" t="str">
        <f>IF($B159="","",AVERAGEIFS(POS_Lat,POS_Time,"&gt;="&amp;($C159+CONVERT(Variables!$C$12,"sec","day")),POS_Time,"&lt;="&amp;($D159-CONVERT(Variables!$C$12+1,"sec","day")),POS_Q,"&lt;="&amp;Variables!$C$11))</f>
        <v/>
      </c>
      <c r="H159" s="26" t="str">
        <f>IF($B159="","",AVERAGEIFS(POS_Long,POS_Time,"&gt;="&amp;($C159+CONVERT(Variables!$C$12,"sec","day")),POS_Time,"&lt;="&amp;($D159-CONVERT(Variables!$C$12+1,"sec","day")),POS_Q,"&lt;="&amp;Variables!$C$11))</f>
        <v/>
      </c>
      <c r="I159" s="30" t="str">
        <f>IF($B159="","",AVERAGEIFS(POS_elev,POS_Time,"&gt;="&amp;($C159+CONVERT(Variables!$C$12,"sec","day")),POS_Time,"&lt;="&amp;($D159-CONVERT(Variables!$C$12+1,"sec","day")),POS_Q,"&lt;="&amp;Variables!$C$11)-S159)</f>
        <v/>
      </c>
      <c r="J159" s="26" t="str">
        <f>IF($B159="","",'Rover CSV Data'!D159)</f>
        <v/>
      </c>
      <c r="K159" s="26" t="str">
        <f>IF($B159="","",'Rover CSV Data'!C159)</f>
        <v/>
      </c>
      <c r="L159" s="26" t="str">
        <f>IF($B159="","",'Rover CSV Data'!E159)</f>
        <v/>
      </c>
      <c r="M159" s="30" t="str">
        <f>IF($B159="","",AVERAGEIFS(sdn,POS_Time,"&gt;="&amp;($C159+CONVERT(Variables!$C$12,"sec","day")),POS_Time,"&lt;="&amp;($D159-CONVERT(Variables!$C$12+1,"sec","day")),POS_Q,"&lt;="&amp;Variables!$C$11))</f>
        <v/>
      </c>
      <c r="N159" s="31" t="str">
        <f>IF($B159="","",AVERAGEIFS(sde,POS_Time,"&gt;="&amp;($C159+CONVERT(Variables!$C$12,"sec","day")),POS_Time,"&lt;="&amp;($D159-CONVERT(Variables!$C$12+1,"sec","day")),POS_Q,"&lt;="&amp;Variables!$C$11))</f>
        <v/>
      </c>
      <c r="O159" s="31" t="str">
        <f>IF($B159="","",AVERAGEIFS(sdu,POS_Time,"&gt;="&amp;($C159+CONVERT(Variables!$C$12,"sec","day")),POS_Time,"&lt;="&amp;($D159-CONVERT(Variables!$C$12+1,"sec","day")),POS_Q,"&lt;="&amp;Variables!$C$11))</f>
        <v/>
      </c>
      <c r="P159" s="32" t="str">
        <f t="array" ref="P159">IF($B159="","",STDEV(IF(POS_Time&gt;=($C159+CONVERT(Variables!$C$12,"sec","day")),IF(POS_Time&lt;=($D159-CONVERT(Variables!$C$12+1,"sec","day")),IF(POS_Q&lt;=Variables!$C$11,POS_Lat)))))</f>
        <v/>
      </c>
      <c r="Q159" s="32" t="str">
        <f t="array" ref="Q159">IF($B159="","",STDEV(IF(POS_Time&gt;=($C159+CONVERT(Variables!$C$12,"sec","day")),IF(POS_Time&lt;=($D159-CONVERT(Variables!$C$12+1,"sec","day")),IF(POS_Q&lt;=Variables!$C$11,POS_Long)))))</f>
        <v/>
      </c>
      <c r="R159" s="32" t="str">
        <f t="array" ref="R159">IF($B159="","",STDEV(IF(POS_Time&gt;=($C159+CONVERT(Variables!$C$12,"sec","day")),IF(POS_Time&lt;=($D159-CONVERT(Variables!$C$12+1,"sec","day")),IF(POS_Q&lt;=Variables!$C$11,POS_elev)))))</f>
        <v/>
      </c>
      <c r="S159" s="30" t="str">
        <f>IF($B159="","",'Rover CSV Data'!K159)</f>
        <v/>
      </c>
      <c r="T159" s="26" t="str">
        <f>IF($B159="","",COUNTIFS(POS_Time,"&gt;="&amp;($C159+CONVERT(Variables!$C$12,"sec","day")),POS_Time,"&lt;="&amp;($D159-CONVERT(Variables!$C$12+1,"sec","day")),POS_Q,"&lt;="&amp;Variables!$C$11))</f>
        <v/>
      </c>
      <c r="U159" s="26" t="str">
        <f>IF($B159="","",IF(1&gt;Variables!$C$11,0,COUNTIFS(POS_Time,"&gt;="&amp;($C159+CONVERT(Variables!$C$12,"sec","day")),POS_Time,"&lt;="&amp;($D159-CONVERT(Variables!$C$12+1,"sec","day")),POS_Q,"=1")))</f>
        <v/>
      </c>
      <c r="V159" s="26" t="str">
        <f>IF($B159="","",IF(2&gt;Variables!$C$11,0,COUNTIFS(POS_Time,"&gt;="&amp;($C159+CONVERT(Variables!$C$12,"sec","day")),POS_Time,"&lt;="&amp;($D159-CONVERT(Variables!$C$12+1,"sec","day")),POS_Q,"=2")))</f>
        <v/>
      </c>
      <c r="W159" s="26" t="str">
        <f>IF($B159="","",IF(3&gt;Variables!$C$11,0,COUNTIFS(POS_Time,"&gt;="&amp;($C159+CONVERT(Variables!$C$12,"sec","day")),POS_Time,"&lt;="&amp;($D159-CONVERT(Variables!$C$12+1,"sec","day")),POS_Q,"=3")))</f>
        <v/>
      </c>
      <c r="X159" s="26" t="str">
        <f>IF($B159="","",IF(4&gt;Variables!$C$11,0,COUNTIFS(POS_Time,"&gt;="&amp;($C159+CONVERT(Variables!$C$12,"sec","day")),POS_Time,"&lt;="&amp;($D159-CONVERT(Variables!$C$12+1,"sec","day")),POS_Q,"=4")))</f>
        <v/>
      </c>
      <c r="Y159" s="26" t="str">
        <f>IF($B159="","",IF(5&gt;Variables!$C$11,0,COUNTIFS(POS_Time,"&gt;="&amp;($C159+CONVERT(Variables!$C$12,"sec","day")),POS_Time,"&lt;="&amp;($D159-CONVERT(Variables!$C$12+1,"sec","day")),POS_Q,"=5")))</f>
        <v/>
      </c>
      <c r="Z159" s="26" t="str">
        <f>IF($B159="","",IF(6&gt;Variables!$C$11,0,COUNTIFS(POS_Time,"&gt;="&amp;($C159+CONVERT(Variables!$C$12,"sec","day")),POS_Time,"&lt;="&amp;($D159-CONVERT(Variables!$C$12+1,"sec","day")),POS_Q,"=6")))</f>
        <v/>
      </c>
    </row>
    <row r="160" spans="1:26" x14ac:dyDescent="0.25">
      <c r="A160" s="2">
        <v>159</v>
      </c>
      <c r="B160" s="27" t="str">
        <f>IF((ROW()-1)&lt;=RoverStations,'Rover CSV Data'!B160,"")</f>
        <v/>
      </c>
      <c r="C160" s="28" t="str">
        <f>IF($B160="","",DATEVALUE(LEFT('Rover CSV Data'!F160,FIND(" ",'Rover CSV Data'!F160)-1))+TIMEVALUE(MID('Rover CSV Data'!F160,LEN('Rover CSV Data'!F160)-FIND(" ",'Rover CSV Data'!F160),(FIND(" UTC",'Rover CSV Data'!F160))-(LEN('Rover CSV Data'!F160)-FIND(" ",'Rover CSV Data'!F160)))))</f>
        <v/>
      </c>
      <c r="D160" s="28" t="str">
        <f>IF($B160="","",DATEVALUE(LEFT('Rover CSV Data'!G160,FIND(" ",'Rover CSV Data'!G160)-1))+TIMEVALUE(MID('Rover CSV Data'!G160,LEN('Rover CSV Data'!G160)-FIND(" ",'Rover CSV Data'!G160),(FIND(" UTC",'Rover CSV Data'!G160))-(LEN('Rover CSV Data'!G160)-FIND(" ",'Rover CSV Data'!G160)))))</f>
        <v/>
      </c>
      <c r="E160" s="29" t="str">
        <f t="shared" si="3"/>
        <v/>
      </c>
      <c r="F160" s="26" t="str">
        <f>IF($B160="","",'Rover CSV Data'!J160)</f>
        <v/>
      </c>
      <c r="G160" s="26" t="str">
        <f>IF($B160="","",AVERAGEIFS(POS_Lat,POS_Time,"&gt;="&amp;($C160+CONVERT(Variables!$C$12,"sec","day")),POS_Time,"&lt;="&amp;($D160-CONVERT(Variables!$C$12+1,"sec","day")),POS_Q,"&lt;="&amp;Variables!$C$11))</f>
        <v/>
      </c>
      <c r="H160" s="26" t="str">
        <f>IF($B160="","",AVERAGEIFS(POS_Long,POS_Time,"&gt;="&amp;($C160+CONVERT(Variables!$C$12,"sec","day")),POS_Time,"&lt;="&amp;($D160-CONVERT(Variables!$C$12+1,"sec","day")),POS_Q,"&lt;="&amp;Variables!$C$11))</f>
        <v/>
      </c>
      <c r="I160" s="30" t="str">
        <f>IF($B160="","",AVERAGEIFS(POS_elev,POS_Time,"&gt;="&amp;($C160+CONVERT(Variables!$C$12,"sec","day")),POS_Time,"&lt;="&amp;($D160-CONVERT(Variables!$C$12+1,"sec","day")),POS_Q,"&lt;="&amp;Variables!$C$11)-S160)</f>
        <v/>
      </c>
      <c r="J160" s="26" t="str">
        <f>IF($B160="","",'Rover CSV Data'!D160)</f>
        <v/>
      </c>
      <c r="K160" s="26" t="str">
        <f>IF($B160="","",'Rover CSV Data'!C160)</f>
        <v/>
      </c>
      <c r="L160" s="26" t="str">
        <f>IF($B160="","",'Rover CSV Data'!E160)</f>
        <v/>
      </c>
      <c r="M160" s="30" t="str">
        <f>IF($B160="","",AVERAGEIFS(sdn,POS_Time,"&gt;="&amp;($C160+CONVERT(Variables!$C$12,"sec","day")),POS_Time,"&lt;="&amp;($D160-CONVERT(Variables!$C$12+1,"sec","day")),POS_Q,"&lt;="&amp;Variables!$C$11))</f>
        <v/>
      </c>
      <c r="N160" s="31" t="str">
        <f>IF($B160="","",AVERAGEIFS(sde,POS_Time,"&gt;="&amp;($C160+CONVERT(Variables!$C$12,"sec","day")),POS_Time,"&lt;="&amp;($D160-CONVERT(Variables!$C$12+1,"sec","day")),POS_Q,"&lt;="&amp;Variables!$C$11))</f>
        <v/>
      </c>
      <c r="O160" s="31" t="str">
        <f>IF($B160="","",AVERAGEIFS(sdu,POS_Time,"&gt;="&amp;($C160+CONVERT(Variables!$C$12,"sec","day")),POS_Time,"&lt;="&amp;($D160-CONVERT(Variables!$C$12+1,"sec","day")),POS_Q,"&lt;="&amp;Variables!$C$11))</f>
        <v/>
      </c>
      <c r="P160" s="32" t="str">
        <f t="array" ref="P160">IF($B160="","",STDEV(IF(POS_Time&gt;=($C160+CONVERT(Variables!$C$12,"sec","day")),IF(POS_Time&lt;=($D160-CONVERT(Variables!$C$12+1,"sec","day")),IF(POS_Q&lt;=Variables!$C$11,POS_Lat)))))</f>
        <v/>
      </c>
      <c r="Q160" s="32" t="str">
        <f t="array" ref="Q160">IF($B160="","",STDEV(IF(POS_Time&gt;=($C160+CONVERT(Variables!$C$12,"sec","day")),IF(POS_Time&lt;=($D160-CONVERT(Variables!$C$12+1,"sec","day")),IF(POS_Q&lt;=Variables!$C$11,POS_Long)))))</f>
        <v/>
      </c>
      <c r="R160" s="32" t="str">
        <f t="array" ref="R160">IF($B160="","",STDEV(IF(POS_Time&gt;=($C160+CONVERT(Variables!$C$12,"sec","day")),IF(POS_Time&lt;=($D160-CONVERT(Variables!$C$12+1,"sec","day")),IF(POS_Q&lt;=Variables!$C$11,POS_elev)))))</f>
        <v/>
      </c>
      <c r="S160" s="30" t="str">
        <f>IF($B160="","",'Rover CSV Data'!K160)</f>
        <v/>
      </c>
      <c r="T160" s="26" t="str">
        <f>IF($B160="","",COUNTIFS(POS_Time,"&gt;="&amp;($C160+CONVERT(Variables!$C$12,"sec","day")),POS_Time,"&lt;="&amp;($D160-CONVERT(Variables!$C$12+1,"sec","day")),POS_Q,"&lt;="&amp;Variables!$C$11))</f>
        <v/>
      </c>
      <c r="U160" s="26" t="str">
        <f>IF($B160="","",IF(1&gt;Variables!$C$11,0,COUNTIFS(POS_Time,"&gt;="&amp;($C160+CONVERT(Variables!$C$12,"sec","day")),POS_Time,"&lt;="&amp;($D160-CONVERT(Variables!$C$12+1,"sec","day")),POS_Q,"=1")))</f>
        <v/>
      </c>
      <c r="V160" s="26" t="str">
        <f>IF($B160="","",IF(2&gt;Variables!$C$11,0,COUNTIFS(POS_Time,"&gt;="&amp;($C160+CONVERT(Variables!$C$12,"sec","day")),POS_Time,"&lt;="&amp;($D160-CONVERT(Variables!$C$12+1,"sec","day")),POS_Q,"=2")))</f>
        <v/>
      </c>
      <c r="W160" s="26" t="str">
        <f>IF($B160="","",IF(3&gt;Variables!$C$11,0,COUNTIFS(POS_Time,"&gt;="&amp;($C160+CONVERT(Variables!$C$12,"sec","day")),POS_Time,"&lt;="&amp;($D160-CONVERT(Variables!$C$12+1,"sec","day")),POS_Q,"=3")))</f>
        <v/>
      </c>
      <c r="X160" s="26" t="str">
        <f>IF($B160="","",IF(4&gt;Variables!$C$11,0,COUNTIFS(POS_Time,"&gt;="&amp;($C160+CONVERT(Variables!$C$12,"sec","day")),POS_Time,"&lt;="&amp;($D160-CONVERT(Variables!$C$12+1,"sec","day")),POS_Q,"=4")))</f>
        <v/>
      </c>
      <c r="Y160" s="26" t="str">
        <f>IF($B160="","",IF(5&gt;Variables!$C$11,0,COUNTIFS(POS_Time,"&gt;="&amp;($C160+CONVERT(Variables!$C$12,"sec","day")),POS_Time,"&lt;="&amp;($D160-CONVERT(Variables!$C$12+1,"sec","day")),POS_Q,"=5")))</f>
        <v/>
      </c>
      <c r="Z160" s="26" t="str">
        <f>IF($B160="","",IF(6&gt;Variables!$C$11,0,COUNTIFS(POS_Time,"&gt;="&amp;($C160+CONVERT(Variables!$C$12,"sec","day")),POS_Time,"&lt;="&amp;($D160-CONVERT(Variables!$C$12+1,"sec","day")),POS_Q,"=6")))</f>
        <v/>
      </c>
    </row>
    <row r="161" spans="1:26" x14ac:dyDescent="0.25">
      <c r="A161" s="2">
        <v>160</v>
      </c>
      <c r="B161" s="27" t="str">
        <f>IF((ROW()-1)&lt;=RoverStations,'Rover CSV Data'!B161,"")</f>
        <v/>
      </c>
      <c r="C161" s="28" t="str">
        <f>IF($B161="","",DATEVALUE(LEFT('Rover CSV Data'!F161,FIND(" ",'Rover CSV Data'!F161)-1))+TIMEVALUE(MID('Rover CSV Data'!F161,LEN('Rover CSV Data'!F161)-FIND(" ",'Rover CSV Data'!F161),(FIND(" UTC",'Rover CSV Data'!F161))-(LEN('Rover CSV Data'!F161)-FIND(" ",'Rover CSV Data'!F161)))))</f>
        <v/>
      </c>
      <c r="D161" s="28" t="str">
        <f>IF($B161="","",DATEVALUE(LEFT('Rover CSV Data'!G161,FIND(" ",'Rover CSV Data'!G161)-1))+TIMEVALUE(MID('Rover CSV Data'!G161,LEN('Rover CSV Data'!G161)-FIND(" ",'Rover CSV Data'!G161),(FIND(" UTC",'Rover CSV Data'!G161))-(LEN('Rover CSV Data'!G161)-FIND(" ",'Rover CSV Data'!G161)))))</f>
        <v/>
      </c>
      <c r="E161" s="29" t="str">
        <f t="shared" si="3"/>
        <v/>
      </c>
      <c r="F161" s="26" t="str">
        <f>IF($B161="","",'Rover CSV Data'!J161)</f>
        <v/>
      </c>
      <c r="G161" s="26" t="str">
        <f>IF($B161="","",AVERAGEIFS(POS_Lat,POS_Time,"&gt;="&amp;($C161+CONVERT(Variables!$C$12,"sec","day")),POS_Time,"&lt;="&amp;($D161-CONVERT(Variables!$C$12+1,"sec","day")),POS_Q,"&lt;="&amp;Variables!$C$11))</f>
        <v/>
      </c>
      <c r="H161" s="26" t="str">
        <f>IF($B161="","",AVERAGEIFS(POS_Long,POS_Time,"&gt;="&amp;($C161+CONVERT(Variables!$C$12,"sec","day")),POS_Time,"&lt;="&amp;($D161-CONVERT(Variables!$C$12+1,"sec","day")),POS_Q,"&lt;="&amp;Variables!$C$11))</f>
        <v/>
      </c>
      <c r="I161" s="30" t="str">
        <f>IF($B161="","",AVERAGEIFS(POS_elev,POS_Time,"&gt;="&amp;($C161+CONVERT(Variables!$C$12,"sec","day")),POS_Time,"&lt;="&amp;($D161-CONVERT(Variables!$C$12+1,"sec","day")),POS_Q,"&lt;="&amp;Variables!$C$11)-S161)</f>
        <v/>
      </c>
      <c r="J161" s="26" t="str">
        <f>IF($B161="","",'Rover CSV Data'!D161)</f>
        <v/>
      </c>
      <c r="K161" s="26" t="str">
        <f>IF($B161="","",'Rover CSV Data'!C161)</f>
        <v/>
      </c>
      <c r="L161" s="26" t="str">
        <f>IF($B161="","",'Rover CSV Data'!E161)</f>
        <v/>
      </c>
      <c r="M161" s="30" t="str">
        <f>IF($B161="","",AVERAGEIFS(sdn,POS_Time,"&gt;="&amp;($C161+CONVERT(Variables!$C$12,"sec","day")),POS_Time,"&lt;="&amp;($D161-CONVERT(Variables!$C$12+1,"sec","day")),POS_Q,"&lt;="&amp;Variables!$C$11))</f>
        <v/>
      </c>
      <c r="N161" s="31" t="str">
        <f>IF($B161="","",AVERAGEIFS(sde,POS_Time,"&gt;="&amp;($C161+CONVERT(Variables!$C$12,"sec","day")),POS_Time,"&lt;="&amp;($D161-CONVERT(Variables!$C$12+1,"sec","day")),POS_Q,"&lt;="&amp;Variables!$C$11))</f>
        <v/>
      </c>
      <c r="O161" s="31" t="str">
        <f>IF($B161="","",AVERAGEIFS(sdu,POS_Time,"&gt;="&amp;($C161+CONVERT(Variables!$C$12,"sec","day")),POS_Time,"&lt;="&amp;($D161-CONVERT(Variables!$C$12+1,"sec","day")),POS_Q,"&lt;="&amp;Variables!$C$11))</f>
        <v/>
      </c>
      <c r="P161" s="32" t="str">
        <f t="array" ref="P161">IF($B161="","",STDEV(IF(POS_Time&gt;=($C161+CONVERT(Variables!$C$12,"sec","day")),IF(POS_Time&lt;=($D161-CONVERT(Variables!$C$12+1,"sec","day")),IF(POS_Q&lt;=Variables!$C$11,POS_Lat)))))</f>
        <v/>
      </c>
      <c r="Q161" s="32" t="str">
        <f t="array" ref="Q161">IF($B161="","",STDEV(IF(POS_Time&gt;=($C161+CONVERT(Variables!$C$12,"sec","day")),IF(POS_Time&lt;=($D161-CONVERT(Variables!$C$12+1,"sec","day")),IF(POS_Q&lt;=Variables!$C$11,POS_Long)))))</f>
        <v/>
      </c>
      <c r="R161" s="32" t="str">
        <f t="array" ref="R161">IF($B161="","",STDEV(IF(POS_Time&gt;=($C161+CONVERT(Variables!$C$12,"sec","day")),IF(POS_Time&lt;=($D161-CONVERT(Variables!$C$12+1,"sec","day")),IF(POS_Q&lt;=Variables!$C$11,POS_elev)))))</f>
        <v/>
      </c>
      <c r="S161" s="30" t="str">
        <f>IF($B161="","",'Rover CSV Data'!K161)</f>
        <v/>
      </c>
      <c r="T161" s="26" t="str">
        <f>IF($B161="","",COUNTIFS(POS_Time,"&gt;="&amp;($C161+CONVERT(Variables!$C$12,"sec","day")),POS_Time,"&lt;="&amp;($D161-CONVERT(Variables!$C$12+1,"sec","day")),POS_Q,"&lt;="&amp;Variables!$C$11))</f>
        <v/>
      </c>
      <c r="U161" s="26" t="str">
        <f>IF($B161="","",IF(1&gt;Variables!$C$11,0,COUNTIFS(POS_Time,"&gt;="&amp;($C161+CONVERT(Variables!$C$12,"sec","day")),POS_Time,"&lt;="&amp;($D161-CONVERT(Variables!$C$12+1,"sec","day")),POS_Q,"=1")))</f>
        <v/>
      </c>
      <c r="V161" s="26" t="str">
        <f>IF($B161="","",IF(2&gt;Variables!$C$11,0,COUNTIFS(POS_Time,"&gt;="&amp;($C161+CONVERT(Variables!$C$12,"sec","day")),POS_Time,"&lt;="&amp;($D161-CONVERT(Variables!$C$12+1,"sec","day")),POS_Q,"=2")))</f>
        <v/>
      </c>
      <c r="W161" s="26" t="str">
        <f>IF($B161="","",IF(3&gt;Variables!$C$11,0,COUNTIFS(POS_Time,"&gt;="&amp;($C161+CONVERT(Variables!$C$12,"sec","day")),POS_Time,"&lt;="&amp;($D161-CONVERT(Variables!$C$12+1,"sec","day")),POS_Q,"=3")))</f>
        <v/>
      </c>
      <c r="X161" s="26" t="str">
        <f>IF($B161="","",IF(4&gt;Variables!$C$11,0,COUNTIFS(POS_Time,"&gt;="&amp;($C161+CONVERT(Variables!$C$12,"sec","day")),POS_Time,"&lt;="&amp;($D161-CONVERT(Variables!$C$12+1,"sec","day")),POS_Q,"=4")))</f>
        <v/>
      </c>
      <c r="Y161" s="26" t="str">
        <f>IF($B161="","",IF(5&gt;Variables!$C$11,0,COUNTIFS(POS_Time,"&gt;="&amp;($C161+CONVERT(Variables!$C$12,"sec","day")),POS_Time,"&lt;="&amp;($D161-CONVERT(Variables!$C$12+1,"sec","day")),POS_Q,"=5")))</f>
        <v/>
      </c>
      <c r="Z161" s="26" t="str">
        <f>IF($B161="","",IF(6&gt;Variables!$C$11,0,COUNTIFS(POS_Time,"&gt;="&amp;($C161+CONVERT(Variables!$C$12,"sec","day")),POS_Time,"&lt;="&amp;($D161-CONVERT(Variables!$C$12+1,"sec","day")),POS_Q,"=6")))</f>
        <v/>
      </c>
    </row>
    <row r="162" spans="1:26" x14ac:dyDescent="0.25">
      <c r="A162" s="2">
        <v>161</v>
      </c>
      <c r="B162" s="27" t="str">
        <f>IF((ROW()-1)&lt;=RoverStations,'Rover CSV Data'!B162,"")</f>
        <v/>
      </c>
      <c r="C162" s="28" t="str">
        <f>IF($B162="","",DATEVALUE(LEFT('Rover CSV Data'!F162,FIND(" ",'Rover CSV Data'!F162)-1))+TIMEVALUE(MID('Rover CSV Data'!F162,LEN('Rover CSV Data'!F162)-FIND(" ",'Rover CSV Data'!F162),(FIND(" UTC",'Rover CSV Data'!F162))-(LEN('Rover CSV Data'!F162)-FIND(" ",'Rover CSV Data'!F162)))))</f>
        <v/>
      </c>
      <c r="D162" s="28" t="str">
        <f>IF($B162="","",DATEVALUE(LEFT('Rover CSV Data'!G162,FIND(" ",'Rover CSV Data'!G162)-1))+TIMEVALUE(MID('Rover CSV Data'!G162,LEN('Rover CSV Data'!G162)-FIND(" ",'Rover CSV Data'!G162),(FIND(" UTC",'Rover CSV Data'!G162))-(LEN('Rover CSV Data'!G162)-FIND(" ",'Rover CSV Data'!G162)))))</f>
        <v/>
      </c>
      <c r="E162" s="29" t="str">
        <f t="shared" si="3"/>
        <v/>
      </c>
      <c r="F162" s="26" t="str">
        <f>IF($B162="","",'Rover CSV Data'!J162)</f>
        <v/>
      </c>
      <c r="G162" s="26" t="str">
        <f>IF($B162="","",AVERAGEIFS(POS_Lat,POS_Time,"&gt;="&amp;($C162+CONVERT(Variables!$C$12,"sec","day")),POS_Time,"&lt;="&amp;($D162-CONVERT(Variables!$C$12+1,"sec","day")),POS_Q,"&lt;="&amp;Variables!$C$11))</f>
        <v/>
      </c>
      <c r="H162" s="26" t="str">
        <f>IF($B162="","",AVERAGEIFS(POS_Long,POS_Time,"&gt;="&amp;($C162+CONVERT(Variables!$C$12,"sec","day")),POS_Time,"&lt;="&amp;($D162-CONVERT(Variables!$C$12+1,"sec","day")),POS_Q,"&lt;="&amp;Variables!$C$11))</f>
        <v/>
      </c>
      <c r="I162" s="30" t="str">
        <f>IF($B162="","",AVERAGEIFS(POS_elev,POS_Time,"&gt;="&amp;($C162+CONVERT(Variables!$C$12,"sec","day")),POS_Time,"&lt;="&amp;($D162-CONVERT(Variables!$C$12+1,"sec","day")),POS_Q,"&lt;="&amp;Variables!$C$11)-S162)</f>
        <v/>
      </c>
      <c r="J162" s="26" t="str">
        <f>IF($B162="","",'Rover CSV Data'!D162)</f>
        <v/>
      </c>
      <c r="K162" s="26" t="str">
        <f>IF($B162="","",'Rover CSV Data'!C162)</f>
        <v/>
      </c>
      <c r="L162" s="26" t="str">
        <f>IF($B162="","",'Rover CSV Data'!E162)</f>
        <v/>
      </c>
      <c r="M162" s="30" t="str">
        <f>IF($B162="","",AVERAGEIFS(sdn,POS_Time,"&gt;="&amp;($C162+CONVERT(Variables!$C$12,"sec","day")),POS_Time,"&lt;="&amp;($D162-CONVERT(Variables!$C$12+1,"sec","day")),POS_Q,"&lt;="&amp;Variables!$C$11))</f>
        <v/>
      </c>
      <c r="N162" s="31" t="str">
        <f>IF($B162="","",AVERAGEIFS(sde,POS_Time,"&gt;="&amp;($C162+CONVERT(Variables!$C$12,"sec","day")),POS_Time,"&lt;="&amp;($D162-CONVERT(Variables!$C$12+1,"sec","day")),POS_Q,"&lt;="&amp;Variables!$C$11))</f>
        <v/>
      </c>
      <c r="O162" s="31" t="str">
        <f>IF($B162="","",AVERAGEIFS(sdu,POS_Time,"&gt;="&amp;($C162+CONVERT(Variables!$C$12,"sec","day")),POS_Time,"&lt;="&amp;($D162-CONVERT(Variables!$C$12+1,"sec","day")),POS_Q,"&lt;="&amp;Variables!$C$11))</f>
        <v/>
      </c>
      <c r="P162" s="32" t="str">
        <f t="array" ref="P162">IF($B162="","",STDEV(IF(POS_Time&gt;=($C162+CONVERT(Variables!$C$12,"sec","day")),IF(POS_Time&lt;=($D162-CONVERT(Variables!$C$12+1,"sec","day")),IF(POS_Q&lt;=Variables!$C$11,POS_Lat)))))</f>
        <v/>
      </c>
      <c r="Q162" s="32" t="str">
        <f t="array" ref="Q162">IF($B162="","",STDEV(IF(POS_Time&gt;=($C162+CONVERT(Variables!$C$12,"sec","day")),IF(POS_Time&lt;=($D162-CONVERT(Variables!$C$12+1,"sec","day")),IF(POS_Q&lt;=Variables!$C$11,POS_Long)))))</f>
        <v/>
      </c>
      <c r="R162" s="32" t="str">
        <f t="array" ref="R162">IF($B162="","",STDEV(IF(POS_Time&gt;=($C162+CONVERT(Variables!$C$12,"sec","day")),IF(POS_Time&lt;=($D162-CONVERT(Variables!$C$12+1,"sec","day")),IF(POS_Q&lt;=Variables!$C$11,POS_elev)))))</f>
        <v/>
      </c>
      <c r="S162" s="30" t="str">
        <f>IF($B162="","",'Rover CSV Data'!K162)</f>
        <v/>
      </c>
      <c r="T162" s="26" t="str">
        <f>IF($B162="","",COUNTIFS(POS_Time,"&gt;="&amp;($C162+CONVERT(Variables!$C$12,"sec","day")),POS_Time,"&lt;="&amp;($D162-CONVERT(Variables!$C$12+1,"sec","day")),POS_Q,"&lt;="&amp;Variables!$C$11))</f>
        <v/>
      </c>
      <c r="U162" s="26" t="str">
        <f>IF($B162="","",IF(1&gt;Variables!$C$11,0,COUNTIFS(POS_Time,"&gt;="&amp;($C162+CONVERT(Variables!$C$12,"sec","day")),POS_Time,"&lt;="&amp;($D162-CONVERT(Variables!$C$12+1,"sec","day")),POS_Q,"=1")))</f>
        <v/>
      </c>
      <c r="V162" s="26" t="str">
        <f>IF($B162="","",IF(2&gt;Variables!$C$11,0,COUNTIFS(POS_Time,"&gt;="&amp;($C162+CONVERT(Variables!$C$12,"sec","day")),POS_Time,"&lt;="&amp;($D162-CONVERT(Variables!$C$12+1,"sec","day")),POS_Q,"=2")))</f>
        <v/>
      </c>
      <c r="W162" s="26" t="str">
        <f>IF($B162="","",IF(3&gt;Variables!$C$11,0,COUNTIFS(POS_Time,"&gt;="&amp;($C162+CONVERT(Variables!$C$12,"sec","day")),POS_Time,"&lt;="&amp;($D162-CONVERT(Variables!$C$12+1,"sec","day")),POS_Q,"=3")))</f>
        <v/>
      </c>
      <c r="X162" s="26" t="str">
        <f>IF($B162="","",IF(4&gt;Variables!$C$11,0,COUNTIFS(POS_Time,"&gt;="&amp;($C162+CONVERT(Variables!$C$12,"sec","day")),POS_Time,"&lt;="&amp;($D162-CONVERT(Variables!$C$12+1,"sec","day")),POS_Q,"=4")))</f>
        <v/>
      </c>
      <c r="Y162" s="26" t="str">
        <f>IF($B162="","",IF(5&gt;Variables!$C$11,0,COUNTIFS(POS_Time,"&gt;="&amp;($C162+CONVERT(Variables!$C$12,"sec","day")),POS_Time,"&lt;="&amp;($D162-CONVERT(Variables!$C$12+1,"sec","day")),POS_Q,"=5")))</f>
        <v/>
      </c>
      <c r="Z162" s="26" t="str">
        <f>IF($B162="","",IF(6&gt;Variables!$C$11,0,COUNTIFS(POS_Time,"&gt;="&amp;($C162+CONVERT(Variables!$C$12,"sec","day")),POS_Time,"&lt;="&amp;($D162-CONVERT(Variables!$C$12+1,"sec","day")),POS_Q,"=6")))</f>
        <v/>
      </c>
    </row>
    <row r="163" spans="1:26" x14ac:dyDescent="0.25">
      <c r="A163" s="2">
        <v>162</v>
      </c>
      <c r="B163" s="27" t="str">
        <f>IF((ROW()-1)&lt;=RoverStations,'Rover CSV Data'!B163,"")</f>
        <v/>
      </c>
      <c r="C163" s="28" t="str">
        <f>IF($B163="","",DATEVALUE(LEFT('Rover CSV Data'!F163,FIND(" ",'Rover CSV Data'!F163)-1))+TIMEVALUE(MID('Rover CSV Data'!F163,LEN('Rover CSV Data'!F163)-FIND(" ",'Rover CSV Data'!F163),(FIND(" UTC",'Rover CSV Data'!F163))-(LEN('Rover CSV Data'!F163)-FIND(" ",'Rover CSV Data'!F163)))))</f>
        <v/>
      </c>
      <c r="D163" s="28" t="str">
        <f>IF($B163="","",DATEVALUE(LEFT('Rover CSV Data'!G163,FIND(" ",'Rover CSV Data'!G163)-1))+TIMEVALUE(MID('Rover CSV Data'!G163,LEN('Rover CSV Data'!G163)-FIND(" ",'Rover CSV Data'!G163),(FIND(" UTC",'Rover CSV Data'!G163))-(LEN('Rover CSV Data'!G163)-FIND(" ",'Rover CSV Data'!G163)))))</f>
        <v/>
      </c>
      <c r="E163" s="29" t="str">
        <f t="shared" si="3"/>
        <v/>
      </c>
      <c r="F163" s="26" t="str">
        <f>IF($B163="","",'Rover CSV Data'!J163)</f>
        <v/>
      </c>
      <c r="G163" s="26" t="str">
        <f>IF($B163="","",AVERAGEIFS(POS_Lat,POS_Time,"&gt;="&amp;($C163+CONVERT(Variables!$C$12,"sec","day")),POS_Time,"&lt;="&amp;($D163-CONVERT(Variables!$C$12+1,"sec","day")),POS_Q,"&lt;="&amp;Variables!$C$11))</f>
        <v/>
      </c>
      <c r="H163" s="26" t="str">
        <f>IF($B163="","",AVERAGEIFS(POS_Long,POS_Time,"&gt;="&amp;($C163+CONVERT(Variables!$C$12,"sec","day")),POS_Time,"&lt;="&amp;($D163-CONVERT(Variables!$C$12+1,"sec","day")),POS_Q,"&lt;="&amp;Variables!$C$11))</f>
        <v/>
      </c>
      <c r="I163" s="30" t="str">
        <f>IF($B163="","",AVERAGEIFS(POS_elev,POS_Time,"&gt;="&amp;($C163+CONVERT(Variables!$C$12,"sec","day")),POS_Time,"&lt;="&amp;($D163-CONVERT(Variables!$C$12+1,"sec","day")),POS_Q,"&lt;="&amp;Variables!$C$11)-S163)</f>
        <v/>
      </c>
      <c r="J163" s="26" t="str">
        <f>IF($B163="","",'Rover CSV Data'!D163)</f>
        <v/>
      </c>
      <c r="K163" s="26" t="str">
        <f>IF($B163="","",'Rover CSV Data'!C163)</f>
        <v/>
      </c>
      <c r="L163" s="26" t="str">
        <f>IF($B163="","",'Rover CSV Data'!E163)</f>
        <v/>
      </c>
      <c r="M163" s="30" t="str">
        <f>IF($B163="","",AVERAGEIFS(sdn,POS_Time,"&gt;="&amp;($C163+CONVERT(Variables!$C$12,"sec","day")),POS_Time,"&lt;="&amp;($D163-CONVERT(Variables!$C$12+1,"sec","day")),POS_Q,"&lt;="&amp;Variables!$C$11))</f>
        <v/>
      </c>
      <c r="N163" s="31" t="str">
        <f>IF($B163="","",AVERAGEIFS(sde,POS_Time,"&gt;="&amp;($C163+CONVERT(Variables!$C$12,"sec","day")),POS_Time,"&lt;="&amp;($D163-CONVERT(Variables!$C$12+1,"sec","day")),POS_Q,"&lt;="&amp;Variables!$C$11))</f>
        <v/>
      </c>
      <c r="O163" s="31" t="str">
        <f>IF($B163="","",AVERAGEIFS(sdu,POS_Time,"&gt;="&amp;($C163+CONVERT(Variables!$C$12,"sec","day")),POS_Time,"&lt;="&amp;($D163-CONVERT(Variables!$C$12+1,"sec","day")),POS_Q,"&lt;="&amp;Variables!$C$11))</f>
        <v/>
      </c>
      <c r="P163" s="32" t="str">
        <f t="array" ref="P163">IF($B163="","",STDEV(IF(POS_Time&gt;=($C163+CONVERT(Variables!$C$12,"sec","day")),IF(POS_Time&lt;=($D163-CONVERT(Variables!$C$12+1,"sec","day")),IF(POS_Q&lt;=Variables!$C$11,POS_Lat)))))</f>
        <v/>
      </c>
      <c r="Q163" s="32" t="str">
        <f t="array" ref="Q163">IF($B163="","",STDEV(IF(POS_Time&gt;=($C163+CONVERT(Variables!$C$12,"sec","day")),IF(POS_Time&lt;=($D163-CONVERT(Variables!$C$12+1,"sec","day")),IF(POS_Q&lt;=Variables!$C$11,POS_Long)))))</f>
        <v/>
      </c>
      <c r="R163" s="32" t="str">
        <f t="array" ref="R163">IF($B163="","",STDEV(IF(POS_Time&gt;=($C163+CONVERT(Variables!$C$12,"sec","day")),IF(POS_Time&lt;=($D163-CONVERT(Variables!$C$12+1,"sec","day")),IF(POS_Q&lt;=Variables!$C$11,POS_elev)))))</f>
        <v/>
      </c>
      <c r="S163" s="30" t="str">
        <f>IF($B163="","",'Rover CSV Data'!K163)</f>
        <v/>
      </c>
      <c r="T163" s="26" t="str">
        <f>IF($B163="","",COUNTIFS(POS_Time,"&gt;="&amp;($C163+CONVERT(Variables!$C$12,"sec","day")),POS_Time,"&lt;="&amp;($D163-CONVERT(Variables!$C$12+1,"sec","day")),POS_Q,"&lt;="&amp;Variables!$C$11))</f>
        <v/>
      </c>
      <c r="U163" s="26" t="str">
        <f>IF($B163="","",IF(1&gt;Variables!$C$11,0,COUNTIFS(POS_Time,"&gt;="&amp;($C163+CONVERT(Variables!$C$12,"sec","day")),POS_Time,"&lt;="&amp;($D163-CONVERT(Variables!$C$12+1,"sec","day")),POS_Q,"=1")))</f>
        <v/>
      </c>
      <c r="V163" s="26" t="str">
        <f>IF($B163="","",IF(2&gt;Variables!$C$11,0,COUNTIFS(POS_Time,"&gt;="&amp;($C163+CONVERT(Variables!$C$12,"sec","day")),POS_Time,"&lt;="&amp;($D163-CONVERT(Variables!$C$12+1,"sec","day")),POS_Q,"=2")))</f>
        <v/>
      </c>
      <c r="W163" s="26" t="str">
        <f>IF($B163="","",IF(3&gt;Variables!$C$11,0,COUNTIFS(POS_Time,"&gt;="&amp;($C163+CONVERT(Variables!$C$12,"sec","day")),POS_Time,"&lt;="&amp;($D163-CONVERT(Variables!$C$12+1,"sec","day")),POS_Q,"=3")))</f>
        <v/>
      </c>
      <c r="X163" s="26" t="str">
        <f>IF($B163="","",IF(4&gt;Variables!$C$11,0,COUNTIFS(POS_Time,"&gt;="&amp;($C163+CONVERT(Variables!$C$12,"sec","day")),POS_Time,"&lt;="&amp;($D163-CONVERT(Variables!$C$12+1,"sec","day")),POS_Q,"=4")))</f>
        <v/>
      </c>
      <c r="Y163" s="26" t="str">
        <f>IF($B163="","",IF(5&gt;Variables!$C$11,0,COUNTIFS(POS_Time,"&gt;="&amp;($C163+CONVERT(Variables!$C$12,"sec","day")),POS_Time,"&lt;="&amp;($D163-CONVERT(Variables!$C$12+1,"sec","day")),POS_Q,"=5")))</f>
        <v/>
      </c>
      <c r="Z163" s="26" t="str">
        <f>IF($B163="","",IF(6&gt;Variables!$C$11,0,COUNTIFS(POS_Time,"&gt;="&amp;($C163+CONVERT(Variables!$C$12,"sec","day")),POS_Time,"&lt;="&amp;($D163-CONVERT(Variables!$C$12+1,"sec","day")),POS_Q,"=6")))</f>
        <v/>
      </c>
    </row>
    <row r="164" spans="1:26" x14ac:dyDescent="0.25">
      <c r="A164" s="2">
        <v>163</v>
      </c>
      <c r="B164" s="27" t="str">
        <f>IF((ROW()-1)&lt;=RoverStations,'Rover CSV Data'!B164,"")</f>
        <v/>
      </c>
      <c r="C164" s="28" t="str">
        <f>IF($B164="","",DATEVALUE(LEFT('Rover CSV Data'!F164,FIND(" ",'Rover CSV Data'!F164)-1))+TIMEVALUE(MID('Rover CSV Data'!F164,LEN('Rover CSV Data'!F164)-FIND(" ",'Rover CSV Data'!F164),(FIND(" UTC",'Rover CSV Data'!F164))-(LEN('Rover CSV Data'!F164)-FIND(" ",'Rover CSV Data'!F164)))))</f>
        <v/>
      </c>
      <c r="D164" s="28" t="str">
        <f>IF($B164="","",DATEVALUE(LEFT('Rover CSV Data'!G164,FIND(" ",'Rover CSV Data'!G164)-1))+TIMEVALUE(MID('Rover CSV Data'!G164,LEN('Rover CSV Data'!G164)-FIND(" ",'Rover CSV Data'!G164),(FIND(" UTC",'Rover CSV Data'!G164))-(LEN('Rover CSV Data'!G164)-FIND(" ",'Rover CSV Data'!G164)))))</f>
        <v/>
      </c>
      <c r="E164" s="29" t="str">
        <f t="shared" si="3"/>
        <v/>
      </c>
      <c r="F164" s="26" t="str">
        <f>IF($B164="","",'Rover CSV Data'!J164)</f>
        <v/>
      </c>
      <c r="G164" s="26" t="str">
        <f>IF($B164="","",AVERAGEIFS(POS_Lat,POS_Time,"&gt;="&amp;($C164+CONVERT(Variables!$C$12,"sec","day")),POS_Time,"&lt;="&amp;($D164-CONVERT(Variables!$C$12+1,"sec","day")),POS_Q,"&lt;="&amp;Variables!$C$11))</f>
        <v/>
      </c>
      <c r="H164" s="26" t="str">
        <f>IF($B164="","",AVERAGEIFS(POS_Long,POS_Time,"&gt;="&amp;($C164+CONVERT(Variables!$C$12,"sec","day")),POS_Time,"&lt;="&amp;($D164-CONVERT(Variables!$C$12+1,"sec","day")),POS_Q,"&lt;="&amp;Variables!$C$11))</f>
        <v/>
      </c>
      <c r="I164" s="30" t="str">
        <f>IF($B164="","",AVERAGEIFS(POS_elev,POS_Time,"&gt;="&amp;($C164+CONVERT(Variables!$C$12,"sec","day")),POS_Time,"&lt;="&amp;($D164-CONVERT(Variables!$C$12+1,"sec","day")),POS_Q,"&lt;="&amp;Variables!$C$11)-S164)</f>
        <v/>
      </c>
      <c r="J164" s="26" t="str">
        <f>IF($B164="","",'Rover CSV Data'!D164)</f>
        <v/>
      </c>
      <c r="K164" s="26" t="str">
        <f>IF($B164="","",'Rover CSV Data'!C164)</f>
        <v/>
      </c>
      <c r="L164" s="26" t="str">
        <f>IF($B164="","",'Rover CSV Data'!E164)</f>
        <v/>
      </c>
      <c r="M164" s="30" t="str">
        <f>IF($B164="","",AVERAGEIFS(sdn,POS_Time,"&gt;="&amp;($C164+CONVERT(Variables!$C$12,"sec","day")),POS_Time,"&lt;="&amp;($D164-CONVERT(Variables!$C$12+1,"sec","day")),POS_Q,"&lt;="&amp;Variables!$C$11))</f>
        <v/>
      </c>
      <c r="N164" s="31" t="str">
        <f>IF($B164="","",AVERAGEIFS(sde,POS_Time,"&gt;="&amp;($C164+CONVERT(Variables!$C$12,"sec","day")),POS_Time,"&lt;="&amp;($D164-CONVERT(Variables!$C$12+1,"sec","day")),POS_Q,"&lt;="&amp;Variables!$C$11))</f>
        <v/>
      </c>
      <c r="O164" s="31" t="str">
        <f>IF($B164="","",AVERAGEIFS(sdu,POS_Time,"&gt;="&amp;($C164+CONVERT(Variables!$C$12,"sec","day")),POS_Time,"&lt;="&amp;($D164-CONVERT(Variables!$C$12+1,"sec","day")),POS_Q,"&lt;="&amp;Variables!$C$11))</f>
        <v/>
      </c>
      <c r="P164" s="32" t="str">
        <f t="array" ref="P164">IF($B164="","",STDEV(IF(POS_Time&gt;=($C164+CONVERT(Variables!$C$12,"sec","day")),IF(POS_Time&lt;=($D164-CONVERT(Variables!$C$12+1,"sec","day")),IF(POS_Q&lt;=Variables!$C$11,POS_Lat)))))</f>
        <v/>
      </c>
      <c r="Q164" s="32" t="str">
        <f t="array" ref="Q164">IF($B164="","",STDEV(IF(POS_Time&gt;=($C164+CONVERT(Variables!$C$12,"sec","day")),IF(POS_Time&lt;=($D164-CONVERT(Variables!$C$12+1,"sec","day")),IF(POS_Q&lt;=Variables!$C$11,POS_Long)))))</f>
        <v/>
      </c>
      <c r="R164" s="32" t="str">
        <f t="array" ref="R164">IF($B164="","",STDEV(IF(POS_Time&gt;=($C164+CONVERT(Variables!$C$12,"sec","day")),IF(POS_Time&lt;=($D164-CONVERT(Variables!$C$12+1,"sec","day")),IF(POS_Q&lt;=Variables!$C$11,POS_elev)))))</f>
        <v/>
      </c>
      <c r="S164" s="30" t="str">
        <f>IF($B164="","",'Rover CSV Data'!K164)</f>
        <v/>
      </c>
      <c r="T164" s="26" t="str">
        <f>IF($B164="","",COUNTIFS(POS_Time,"&gt;="&amp;($C164+CONVERT(Variables!$C$12,"sec","day")),POS_Time,"&lt;="&amp;($D164-CONVERT(Variables!$C$12+1,"sec","day")),POS_Q,"&lt;="&amp;Variables!$C$11))</f>
        <v/>
      </c>
      <c r="U164" s="26" t="str">
        <f>IF($B164="","",IF(1&gt;Variables!$C$11,0,COUNTIFS(POS_Time,"&gt;="&amp;($C164+CONVERT(Variables!$C$12,"sec","day")),POS_Time,"&lt;="&amp;($D164-CONVERT(Variables!$C$12+1,"sec","day")),POS_Q,"=1")))</f>
        <v/>
      </c>
      <c r="V164" s="26" t="str">
        <f>IF($B164="","",IF(2&gt;Variables!$C$11,0,COUNTIFS(POS_Time,"&gt;="&amp;($C164+CONVERT(Variables!$C$12,"sec","day")),POS_Time,"&lt;="&amp;($D164-CONVERT(Variables!$C$12+1,"sec","day")),POS_Q,"=2")))</f>
        <v/>
      </c>
      <c r="W164" s="26" t="str">
        <f>IF($B164="","",IF(3&gt;Variables!$C$11,0,COUNTIFS(POS_Time,"&gt;="&amp;($C164+CONVERT(Variables!$C$12,"sec","day")),POS_Time,"&lt;="&amp;($D164-CONVERT(Variables!$C$12+1,"sec","day")),POS_Q,"=3")))</f>
        <v/>
      </c>
      <c r="X164" s="26" t="str">
        <f>IF($B164="","",IF(4&gt;Variables!$C$11,0,COUNTIFS(POS_Time,"&gt;="&amp;($C164+CONVERT(Variables!$C$12,"sec","day")),POS_Time,"&lt;="&amp;($D164-CONVERT(Variables!$C$12+1,"sec","day")),POS_Q,"=4")))</f>
        <v/>
      </c>
      <c r="Y164" s="26" t="str">
        <f>IF($B164="","",IF(5&gt;Variables!$C$11,0,COUNTIFS(POS_Time,"&gt;="&amp;($C164+CONVERT(Variables!$C$12,"sec","day")),POS_Time,"&lt;="&amp;($D164-CONVERT(Variables!$C$12+1,"sec","day")),POS_Q,"=5")))</f>
        <v/>
      </c>
      <c r="Z164" s="26" t="str">
        <f>IF($B164="","",IF(6&gt;Variables!$C$11,0,COUNTIFS(POS_Time,"&gt;="&amp;($C164+CONVERT(Variables!$C$12,"sec","day")),POS_Time,"&lt;="&amp;($D164-CONVERT(Variables!$C$12+1,"sec","day")),POS_Q,"=6")))</f>
        <v/>
      </c>
    </row>
    <row r="165" spans="1:26" x14ac:dyDescent="0.25">
      <c r="A165" s="2">
        <v>164</v>
      </c>
      <c r="B165" s="27" t="str">
        <f>IF((ROW()-1)&lt;=RoverStations,'Rover CSV Data'!B165,"")</f>
        <v/>
      </c>
      <c r="C165" s="28" t="str">
        <f>IF($B165="","",DATEVALUE(LEFT('Rover CSV Data'!F165,FIND(" ",'Rover CSV Data'!F165)-1))+TIMEVALUE(MID('Rover CSV Data'!F165,LEN('Rover CSV Data'!F165)-FIND(" ",'Rover CSV Data'!F165),(FIND(" UTC",'Rover CSV Data'!F165))-(LEN('Rover CSV Data'!F165)-FIND(" ",'Rover CSV Data'!F165)))))</f>
        <v/>
      </c>
      <c r="D165" s="28" t="str">
        <f>IF($B165="","",DATEVALUE(LEFT('Rover CSV Data'!G165,FIND(" ",'Rover CSV Data'!G165)-1))+TIMEVALUE(MID('Rover CSV Data'!G165,LEN('Rover CSV Data'!G165)-FIND(" ",'Rover CSV Data'!G165),(FIND(" UTC",'Rover CSV Data'!G165))-(LEN('Rover CSV Data'!G165)-FIND(" ",'Rover CSV Data'!G165)))))</f>
        <v/>
      </c>
      <c r="E165" s="29" t="str">
        <f t="shared" si="3"/>
        <v/>
      </c>
      <c r="F165" s="26" t="str">
        <f>IF($B165="","",'Rover CSV Data'!J165)</f>
        <v/>
      </c>
      <c r="G165" s="26" t="str">
        <f>IF($B165="","",AVERAGEIFS(POS_Lat,POS_Time,"&gt;="&amp;($C165+CONVERT(Variables!$C$12,"sec","day")),POS_Time,"&lt;="&amp;($D165-CONVERT(Variables!$C$12+1,"sec","day")),POS_Q,"&lt;="&amp;Variables!$C$11))</f>
        <v/>
      </c>
      <c r="H165" s="26" t="str">
        <f>IF($B165="","",AVERAGEIFS(POS_Long,POS_Time,"&gt;="&amp;($C165+CONVERT(Variables!$C$12,"sec","day")),POS_Time,"&lt;="&amp;($D165-CONVERT(Variables!$C$12+1,"sec","day")),POS_Q,"&lt;="&amp;Variables!$C$11))</f>
        <v/>
      </c>
      <c r="I165" s="30" t="str">
        <f>IF($B165="","",AVERAGEIFS(POS_elev,POS_Time,"&gt;="&amp;($C165+CONVERT(Variables!$C$12,"sec","day")),POS_Time,"&lt;="&amp;($D165-CONVERT(Variables!$C$12+1,"sec","day")),POS_Q,"&lt;="&amp;Variables!$C$11)-S165)</f>
        <v/>
      </c>
      <c r="J165" s="26" t="str">
        <f>IF($B165="","",'Rover CSV Data'!D165)</f>
        <v/>
      </c>
      <c r="K165" s="26" t="str">
        <f>IF($B165="","",'Rover CSV Data'!C165)</f>
        <v/>
      </c>
      <c r="L165" s="26" t="str">
        <f>IF($B165="","",'Rover CSV Data'!E165)</f>
        <v/>
      </c>
      <c r="M165" s="30" t="str">
        <f>IF($B165="","",AVERAGEIFS(sdn,POS_Time,"&gt;="&amp;($C165+CONVERT(Variables!$C$12,"sec","day")),POS_Time,"&lt;="&amp;($D165-CONVERT(Variables!$C$12+1,"sec","day")),POS_Q,"&lt;="&amp;Variables!$C$11))</f>
        <v/>
      </c>
      <c r="N165" s="31" t="str">
        <f>IF($B165="","",AVERAGEIFS(sde,POS_Time,"&gt;="&amp;($C165+CONVERT(Variables!$C$12,"sec","day")),POS_Time,"&lt;="&amp;($D165-CONVERT(Variables!$C$12+1,"sec","day")),POS_Q,"&lt;="&amp;Variables!$C$11))</f>
        <v/>
      </c>
      <c r="O165" s="31" t="str">
        <f>IF($B165="","",AVERAGEIFS(sdu,POS_Time,"&gt;="&amp;($C165+CONVERT(Variables!$C$12,"sec","day")),POS_Time,"&lt;="&amp;($D165-CONVERT(Variables!$C$12+1,"sec","day")),POS_Q,"&lt;="&amp;Variables!$C$11))</f>
        <v/>
      </c>
      <c r="P165" s="32" t="str">
        <f t="array" ref="P165">IF($B165="","",STDEV(IF(POS_Time&gt;=($C165+CONVERT(Variables!$C$12,"sec","day")),IF(POS_Time&lt;=($D165-CONVERT(Variables!$C$12+1,"sec","day")),IF(POS_Q&lt;=Variables!$C$11,POS_Lat)))))</f>
        <v/>
      </c>
      <c r="Q165" s="32" t="str">
        <f t="array" ref="Q165">IF($B165="","",STDEV(IF(POS_Time&gt;=($C165+CONVERT(Variables!$C$12,"sec","day")),IF(POS_Time&lt;=($D165-CONVERT(Variables!$C$12+1,"sec","day")),IF(POS_Q&lt;=Variables!$C$11,POS_Long)))))</f>
        <v/>
      </c>
      <c r="R165" s="32" t="str">
        <f t="array" ref="R165">IF($B165="","",STDEV(IF(POS_Time&gt;=($C165+CONVERT(Variables!$C$12,"sec","day")),IF(POS_Time&lt;=($D165-CONVERT(Variables!$C$12+1,"sec","day")),IF(POS_Q&lt;=Variables!$C$11,POS_elev)))))</f>
        <v/>
      </c>
      <c r="S165" s="30" t="str">
        <f>IF($B165="","",'Rover CSV Data'!K165)</f>
        <v/>
      </c>
      <c r="T165" s="26" t="str">
        <f>IF($B165="","",COUNTIFS(POS_Time,"&gt;="&amp;($C165+CONVERT(Variables!$C$12,"sec","day")),POS_Time,"&lt;="&amp;($D165-CONVERT(Variables!$C$12+1,"sec","day")),POS_Q,"&lt;="&amp;Variables!$C$11))</f>
        <v/>
      </c>
      <c r="U165" s="26" t="str">
        <f>IF($B165="","",IF(1&gt;Variables!$C$11,0,COUNTIFS(POS_Time,"&gt;="&amp;($C165+CONVERT(Variables!$C$12,"sec","day")),POS_Time,"&lt;="&amp;($D165-CONVERT(Variables!$C$12+1,"sec","day")),POS_Q,"=1")))</f>
        <v/>
      </c>
      <c r="V165" s="26" t="str">
        <f>IF($B165="","",IF(2&gt;Variables!$C$11,0,COUNTIFS(POS_Time,"&gt;="&amp;($C165+CONVERT(Variables!$C$12,"sec","day")),POS_Time,"&lt;="&amp;($D165-CONVERT(Variables!$C$12+1,"sec","day")),POS_Q,"=2")))</f>
        <v/>
      </c>
      <c r="W165" s="26" t="str">
        <f>IF($B165="","",IF(3&gt;Variables!$C$11,0,COUNTIFS(POS_Time,"&gt;="&amp;($C165+CONVERT(Variables!$C$12,"sec","day")),POS_Time,"&lt;="&amp;($D165-CONVERT(Variables!$C$12+1,"sec","day")),POS_Q,"=3")))</f>
        <v/>
      </c>
      <c r="X165" s="26" t="str">
        <f>IF($B165="","",IF(4&gt;Variables!$C$11,0,COUNTIFS(POS_Time,"&gt;="&amp;($C165+CONVERT(Variables!$C$12,"sec","day")),POS_Time,"&lt;="&amp;($D165-CONVERT(Variables!$C$12+1,"sec","day")),POS_Q,"=4")))</f>
        <v/>
      </c>
      <c r="Y165" s="26" t="str">
        <f>IF($B165="","",IF(5&gt;Variables!$C$11,0,COUNTIFS(POS_Time,"&gt;="&amp;($C165+CONVERT(Variables!$C$12,"sec","day")),POS_Time,"&lt;="&amp;($D165-CONVERT(Variables!$C$12+1,"sec","day")),POS_Q,"=5")))</f>
        <v/>
      </c>
      <c r="Z165" s="26" t="str">
        <f>IF($B165="","",IF(6&gt;Variables!$C$11,0,COUNTIFS(POS_Time,"&gt;="&amp;($C165+CONVERT(Variables!$C$12,"sec","day")),POS_Time,"&lt;="&amp;($D165-CONVERT(Variables!$C$12+1,"sec","day")),POS_Q,"=6")))</f>
        <v/>
      </c>
    </row>
    <row r="166" spans="1:26" x14ac:dyDescent="0.25">
      <c r="A166" s="2">
        <v>165</v>
      </c>
      <c r="B166" s="27" t="str">
        <f>IF((ROW()-1)&lt;=RoverStations,'Rover CSV Data'!B166,"")</f>
        <v/>
      </c>
      <c r="C166" s="28" t="str">
        <f>IF($B166="","",DATEVALUE(LEFT('Rover CSV Data'!F166,FIND(" ",'Rover CSV Data'!F166)-1))+TIMEVALUE(MID('Rover CSV Data'!F166,LEN('Rover CSV Data'!F166)-FIND(" ",'Rover CSV Data'!F166),(FIND(" UTC",'Rover CSV Data'!F166))-(LEN('Rover CSV Data'!F166)-FIND(" ",'Rover CSV Data'!F166)))))</f>
        <v/>
      </c>
      <c r="D166" s="28" t="str">
        <f>IF($B166="","",DATEVALUE(LEFT('Rover CSV Data'!G166,FIND(" ",'Rover CSV Data'!G166)-1))+TIMEVALUE(MID('Rover CSV Data'!G166,LEN('Rover CSV Data'!G166)-FIND(" ",'Rover CSV Data'!G166),(FIND(" UTC",'Rover CSV Data'!G166))-(LEN('Rover CSV Data'!G166)-FIND(" ",'Rover CSV Data'!G166)))))</f>
        <v/>
      </c>
      <c r="E166" s="29" t="str">
        <f t="shared" si="3"/>
        <v/>
      </c>
      <c r="F166" s="26" t="str">
        <f>IF($B166="","",'Rover CSV Data'!J166)</f>
        <v/>
      </c>
      <c r="G166" s="26" t="str">
        <f>IF($B166="","",AVERAGEIFS(POS_Lat,POS_Time,"&gt;="&amp;($C166+CONVERT(Variables!$C$12,"sec","day")),POS_Time,"&lt;="&amp;($D166-CONVERT(Variables!$C$12+1,"sec","day")),POS_Q,"&lt;="&amp;Variables!$C$11))</f>
        <v/>
      </c>
      <c r="H166" s="26" t="str">
        <f>IF($B166="","",AVERAGEIFS(POS_Long,POS_Time,"&gt;="&amp;($C166+CONVERT(Variables!$C$12,"sec","day")),POS_Time,"&lt;="&amp;($D166-CONVERT(Variables!$C$12+1,"sec","day")),POS_Q,"&lt;="&amp;Variables!$C$11))</f>
        <v/>
      </c>
      <c r="I166" s="30" t="str">
        <f>IF($B166="","",AVERAGEIFS(POS_elev,POS_Time,"&gt;="&amp;($C166+CONVERT(Variables!$C$12,"sec","day")),POS_Time,"&lt;="&amp;($D166-CONVERT(Variables!$C$12+1,"sec","day")),POS_Q,"&lt;="&amp;Variables!$C$11)-S166)</f>
        <v/>
      </c>
      <c r="J166" s="26" t="str">
        <f>IF($B166="","",'Rover CSV Data'!D166)</f>
        <v/>
      </c>
      <c r="K166" s="26" t="str">
        <f>IF($B166="","",'Rover CSV Data'!C166)</f>
        <v/>
      </c>
      <c r="L166" s="26" t="str">
        <f>IF($B166="","",'Rover CSV Data'!E166)</f>
        <v/>
      </c>
      <c r="M166" s="30" t="str">
        <f>IF($B166="","",AVERAGEIFS(sdn,POS_Time,"&gt;="&amp;($C166+CONVERT(Variables!$C$12,"sec","day")),POS_Time,"&lt;="&amp;($D166-CONVERT(Variables!$C$12+1,"sec","day")),POS_Q,"&lt;="&amp;Variables!$C$11))</f>
        <v/>
      </c>
      <c r="N166" s="31" t="str">
        <f>IF($B166="","",AVERAGEIFS(sde,POS_Time,"&gt;="&amp;($C166+CONVERT(Variables!$C$12,"sec","day")),POS_Time,"&lt;="&amp;($D166-CONVERT(Variables!$C$12+1,"sec","day")),POS_Q,"&lt;="&amp;Variables!$C$11))</f>
        <v/>
      </c>
      <c r="O166" s="31" t="str">
        <f>IF($B166="","",AVERAGEIFS(sdu,POS_Time,"&gt;="&amp;($C166+CONVERT(Variables!$C$12,"sec","day")),POS_Time,"&lt;="&amp;($D166-CONVERT(Variables!$C$12+1,"sec","day")),POS_Q,"&lt;="&amp;Variables!$C$11))</f>
        <v/>
      </c>
      <c r="P166" s="32" t="str">
        <f t="array" ref="P166">IF($B166="","",STDEV(IF(POS_Time&gt;=($C166+CONVERT(Variables!$C$12,"sec","day")),IF(POS_Time&lt;=($D166-CONVERT(Variables!$C$12+1,"sec","day")),IF(POS_Q&lt;=Variables!$C$11,POS_Lat)))))</f>
        <v/>
      </c>
      <c r="Q166" s="32" t="str">
        <f t="array" ref="Q166">IF($B166="","",STDEV(IF(POS_Time&gt;=($C166+CONVERT(Variables!$C$12,"sec","day")),IF(POS_Time&lt;=($D166-CONVERT(Variables!$C$12+1,"sec","day")),IF(POS_Q&lt;=Variables!$C$11,POS_Long)))))</f>
        <v/>
      </c>
      <c r="R166" s="32" t="str">
        <f t="array" ref="R166">IF($B166="","",STDEV(IF(POS_Time&gt;=($C166+CONVERT(Variables!$C$12,"sec","day")),IF(POS_Time&lt;=($D166-CONVERT(Variables!$C$12+1,"sec","day")),IF(POS_Q&lt;=Variables!$C$11,POS_elev)))))</f>
        <v/>
      </c>
      <c r="S166" s="30" t="str">
        <f>IF($B166="","",'Rover CSV Data'!K166)</f>
        <v/>
      </c>
      <c r="T166" s="26" t="str">
        <f>IF($B166="","",COUNTIFS(POS_Time,"&gt;="&amp;($C166+CONVERT(Variables!$C$12,"sec","day")),POS_Time,"&lt;="&amp;($D166-CONVERT(Variables!$C$12+1,"sec","day")),POS_Q,"&lt;="&amp;Variables!$C$11))</f>
        <v/>
      </c>
      <c r="U166" s="26" t="str">
        <f>IF($B166="","",IF(1&gt;Variables!$C$11,0,COUNTIFS(POS_Time,"&gt;="&amp;($C166+CONVERT(Variables!$C$12,"sec","day")),POS_Time,"&lt;="&amp;($D166-CONVERT(Variables!$C$12+1,"sec","day")),POS_Q,"=1")))</f>
        <v/>
      </c>
      <c r="V166" s="26" t="str">
        <f>IF($B166="","",IF(2&gt;Variables!$C$11,0,COUNTIFS(POS_Time,"&gt;="&amp;($C166+CONVERT(Variables!$C$12,"sec","day")),POS_Time,"&lt;="&amp;($D166-CONVERT(Variables!$C$12+1,"sec","day")),POS_Q,"=2")))</f>
        <v/>
      </c>
      <c r="W166" s="26" t="str">
        <f>IF($B166="","",IF(3&gt;Variables!$C$11,0,COUNTIFS(POS_Time,"&gt;="&amp;($C166+CONVERT(Variables!$C$12,"sec","day")),POS_Time,"&lt;="&amp;($D166-CONVERT(Variables!$C$12+1,"sec","day")),POS_Q,"=3")))</f>
        <v/>
      </c>
      <c r="X166" s="26" t="str">
        <f>IF($B166="","",IF(4&gt;Variables!$C$11,0,COUNTIFS(POS_Time,"&gt;="&amp;($C166+CONVERT(Variables!$C$12,"sec","day")),POS_Time,"&lt;="&amp;($D166-CONVERT(Variables!$C$12+1,"sec","day")),POS_Q,"=4")))</f>
        <v/>
      </c>
      <c r="Y166" s="26" t="str">
        <f>IF($B166="","",IF(5&gt;Variables!$C$11,0,COUNTIFS(POS_Time,"&gt;="&amp;($C166+CONVERT(Variables!$C$12,"sec","day")),POS_Time,"&lt;="&amp;($D166-CONVERT(Variables!$C$12+1,"sec","day")),POS_Q,"=5")))</f>
        <v/>
      </c>
      <c r="Z166" s="26" t="str">
        <f>IF($B166="","",IF(6&gt;Variables!$C$11,0,COUNTIFS(POS_Time,"&gt;="&amp;($C166+CONVERT(Variables!$C$12,"sec","day")),POS_Time,"&lt;="&amp;($D166-CONVERT(Variables!$C$12+1,"sec","day")),POS_Q,"=6")))</f>
        <v/>
      </c>
    </row>
    <row r="167" spans="1:26" x14ac:dyDescent="0.25">
      <c r="A167" s="2">
        <v>166</v>
      </c>
      <c r="B167" s="27" t="str">
        <f>IF((ROW()-1)&lt;=RoverStations,'Rover CSV Data'!B167,"")</f>
        <v/>
      </c>
      <c r="C167" s="28" t="str">
        <f>IF($B167="","",DATEVALUE(LEFT('Rover CSV Data'!F167,FIND(" ",'Rover CSV Data'!F167)-1))+TIMEVALUE(MID('Rover CSV Data'!F167,LEN('Rover CSV Data'!F167)-FIND(" ",'Rover CSV Data'!F167),(FIND(" UTC",'Rover CSV Data'!F167))-(LEN('Rover CSV Data'!F167)-FIND(" ",'Rover CSV Data'!F167)))))</f>
        <v/>
      </c>
      <c r="D167" s="28" t="str">
        <f>IF($B167="","",DATEVALUE(LEFT('Rover CSV Data'!G167,FIND(" ",'Rover CSV Data'!G167)-1))+TIMEVALUE(MID('Rover CSV Data'!G167,LEN('Rover CSV Data'!G167)-FIND(" ",'Rover CSV Data'!G167),(FIND(" UTC",'Rover CSV Data'!G167))-(LEN('Rover CSV Data'!G167)-FIND(" ",'Rover CSV Data'!G167)))))</f>
        <v/>
      </c>
      <c r="E167" s="29" t="str">
        <f t="shared" si="3"/>
        <v/>
      </c>
      <c r="F167" s="26" t="str">
        <f>IF($B167="","",'Rover CSV Data'!J167)</f>
        <v/>
      </c>
      <c r="G167" s="26" t="str">
        <f>IF($B167="","",AVERAGEIFS(POS_Lat,POS_Time,"&gt;="&amp;($C167+CONVERT(Variables!$C$12,"sec","day")),POS_Time,"&lt;="&amp;($D167-CONVERT(Variables!$C$12+1,"sec","day")),POS_Q,"&lt;="&amp;Variables!$C$11))</f>
        <v/>
      </c>
      <c r="H167" s="26" t="str">
        <f>IF($B167="","",AVERAGEIFS(POS_Long,POS_Time,"&gt;="&amp;($C167+CONVERT(Variables!$C$12,"sec","day")),POS_Time,"&lt;="&amp;($D167-CONVERT(Variables!$C$12+1,"sec","day")),POS_Q,"&lt;="&amp;Variables!$C$11))</f>
        <v/>
      </c>
      <c r="I167" s="30" t="str">
        <f>IF($B167="","",AVERAGEIFS(POS_elev,POS_Time,"&gt;="&amp;($C167+CONVERT(Variables!$C$12,"sec","day")),POS_Time,"&lt;="&amp;($D167-CONVERT(Variables!$C$12+1,"sec","day")),POS_Q,"&lt;="&amp;Variables!$C$11)-S167)</f>
        <v/>
      </c>
      <c r="J167" s="26" t="str">
        <f>IF($B167="","",'Rover CSV Data'!D167)</f>
        <v/>
      </c>
      <c r="K167" s="26" t="str">
        <f>IF($B167="","",'Rover CSV Data'!C167)</f>
        <v/>
      </c>
      <c r="L167" s="26" t="str">
        <f>IF($B167="","",'Rover CSV Data'!E167)</f>
        <v/>
      </c>
      <c r="M167" s="30" t="str">
        <f>IF($B167="","",AVERAGEIFS(sdn,POS_Time,"&gt;="&amp;($C167+CONVERT(Variables!$C$12,"sec","day")),POS_Time,"&lt;="&amp;($D167-CONVERT(Variables!$C$12+1,"sec","day")),POS_Q,"&lt;="&amp;Variables!$C$11))</f>
        <v/>
      </c>
      <c r="N167" s="31" t="str">
        <f>IF($B167="","",AVERAGEIFS(sde,POS_Time,"&gt;="&amp;($C167+CONVERT(Variables!$C$12,"sec","day")),POS_Time,"&lt;="&amp;($D167-CONVERT(Variables!$C$12+1,"sec","day")),POS_Q,"&lt;="&amp;Variables!$C$11))</f>
        <v/>
      </c>
      <c r="O167" s="31" t="str">
        <f>IF($B167="","",AVERAGEIFS(sdu,POS_Time,"&gt;="&amp;($C167+CONVERT(Variables!$C$12,"sec","day")),POS_Time,"&lt;="&amp;($D167-CONVERT(Variables!$C$12+1,"sec","day")),POS_Q,"&lt;="&amp;Variables!$C$11))</f>
        <v/>
      </c>
      <c r="P167" s="32" t="str">
        <f t="array" ref="P167">IF($B167="","",STDEV(IF(POS_Time&gt;=($C167+CONVERT(Variables!$C$12,"sec","day")),IF(POS_Time&lt;=($D167-CONVERT(Variables!$C$12+1,"sec","day")),IF(POS_Q&lt;=Variables!$C$11,POS_Lat)))))</f>
        <v/>
      </c>
      <c r="Q167" s="32" t="str">
        <f t="array" ref="Q167">IF($B167="","",STDEV(IF(POS_Time&gt;=($C167+CONVERT(Variables!$C$12,"sec","day")),IF(POS_Time&lt;=($D167-CONVERT(Variables!$C$12+1,"sec","day")),IF(POS_Q&lt;=Variables!$C$11,POS_Long)))))</f>
        <v/>
      </c>
      <c r="R167" s="32" t="str">
        <f t="array" ref="R167">IF($B167="","",STDEV(IF(POS_Time&gt;=($C167+CONVERT(Variables!$C$12,"sec","day")),IF(POS_Time&lt;=($D167-CONVERT(Variables!$C$12+1,"sec","day")),IF(POS_Q&lt;=Variables!$C$11,POS_elev)))))</f>
        <v/>
      </c>
      <c r="S167" s="30" t="str">
        <f>IF($B167="","",'Rover CSV Data'!K167)</f>
        <v/>
      </c>
      <c r="T167" s="26" t="str">
        <f>IF($B167="","",COUNTIFS(POS_Time,"&gt;="&amp;($C167+CONVERT(Variables!$C$12,"sec","day")),POS_Time,"&lt;="&amp;($D167-CONVERT(Variables!$C$12+1,"sec","day")),POS_Q,"&lt;="&amp;Variables!$C$11))</f>
        <v/>
      </c>
      <c r="U167" s="26" t="str">
        <f>IF($B167="","",IF(1&gt;Variables!$C$11,0,COUNTIFS(POS_Time,"&gt;="&amp;($C167+CONVERT(Variables!$C$12,"sec","day")),POS_Time,"&lt;="&amp;($D167-CONVERT(Variables!$C$12+1,"sec","day")),POS_Q,"=1")))</f>
        <v/>
      </c>
      <c r="V167" s="26" t="str">
        <f>IF($B167="","",IF(2&gt;Variables!$C$11,0,COUNTIFS(POS_Time,"&gt;="&amp;($C167+CONVERT(Variables!$C$12,"sec","day")),POS_Time,"&lt;="&amp;($D167-CONVERT(Variables!$C$12+1,"sec","day")),POS_Q,"=2")))</f>
        <v/>
      </c>
      <c r="W167" s="26" t="str">
        <f>IF($B167="","",IF(3&gt;Variables!$C$11,0,COUNTIFS(POS_Time,"&gt;="&amp;($C167+CONVERT(Variables!$C$12,"sec","day")),POS_Time,"&lt;="&amp;($D167-CONVERT(Variables!$C$12+1,"sec","day")),POS_Q,"=3")))</f>
        <v/>
      </c>
      <c r="X167" s="26" t="str">
        <f>IF($B167="","",IF(4&gt;Variables!$C$11,0,COUNTIFS(POS_Time,"&gt;="&amp;($C167+CONVERT(Variables!$C$12,"sec","day")),POS_Time,"&lt;="&amp;($D167-CONVERT(Variables!$C$12+1,"sec","day")),POS_Q,"=4")))</f>
        <v/>
      </c>
      <c r="Y167" s="26" t="str">
        <f>IF($B167="","",IF(5&gt;Variables!$C$11,0,COUNTIFS(POS_Time,"&gt;="&amp;($C167+CONVERT(Variables!$C$12,"sec","day")),POS_Time,"&lt;="&amp;($D167-CONVERT(Variables!$C$12+1,"sec","day")),POS_Q,"=5")))</f>
        <v/>
      </c>
      <c r="Z167" s="26" t="str">
        <f>IF($B167="","",IF(6&gt;Variables!$C$11,0,COUNTIFS(POS_Time,"&gt;="&amp;($C167+CONVERT(Variables!$C$12,"sec","day")),POS_Time,"&lt;="&amp;($D167-CONVERT(Variables!$C$12+1,"sec","day")),POS_Q,"=6")))</f>
        <v/>
      </c>
    </row>
    <row r="168" spans="1:26" x14ac:dyDescent="0.25">
      <c r="A168" s="2">
        <v>167</v>
      </c>
      <c r="B168" s="27" t="str">
        <f>IF((ROW()-1)&lt;=RoverStations,'Rover CSV Data'!B168,"")</f>
        <v/>
      </c>
      <c r="C168" s="28" t="str">
        <f>IF($B168="","",DATEVALUE(LEFT('Rover CSV Data'!F168,FIND(" ",'Rover CSV Data'!F168)-1))+TIMEVALUE(MID('Rover CSV Data'!F168,LEN('Rover CSV Data'!F168)-FIND(" ",'Rover CSV Data'!F168),(FIND(" UTC",'Rover CSV Data'!F168))-(LEN('Rover CSV Data'!F168)-FIND(" ",'Rover CSV Data'!F168)))))</f>
        <v/>
      </c>
      <c r="D168" s="28" t="str">
        <f>IF($B168="","",DATEVALUE(LEFT('Rover CSV Data'!G168,FIND(" ",'Rover CSV Data'!G168)-1))+TIMEVALUE(MID('Rover CSV Data'!G168,LEN('Rover CSV Data'!G168)-FIND(" ",'Rover CSV Data'!G168),(FIND(" UTC",'Rover CSV Data'!G168))-(LEN('Rover CSV Data'!G168)-FIND(" ",'Rover CSV Data'!G168)))))</f>
        <v/>
      </c>
      <c r="E168" s="29" t="str">
        <f t="shared" si="3"/>
        <v/>
      </c>
      <c r="F168" s="26" t="str">
        <f>IF($B168="","",'Rover CSV Data'!J168)</f>
        <v/>
      </c>
      <c r="G168" s="26" t="str">
        <f>IF($B168="","",AVERAGEIFS(POS_Lat,POS_Time,"&gt;="&amp;($C168+CONVERT(Variables!$C$12,"sec","day")),POS_Time,"&lt;="&amp;($D168-CONVERT(Variables!$C$12+1,"sec","day")),POS_Q,"&lt;="&amp;Variables!$C$11))</f>
        <v/>
      </c>
      <c r="H168" s="26" t="str">
        <f>IF($B168="","",AVERAGEIFS(POS_Long,POS_Time,"&gt;="&amp;($C168+CONVERT(Variables!$C$12,"sec","day")),POS_Time,"&lt;="&amp;($D168-CONVERT(Variables!$C$12+1,"sec","day")),POS_Q,"&lt;="&amp;Variables!$C$11))</f>
        <v/>
      </c>
      <c r="I168" s="30" t="str">
        <f>IF($B168="","",AVERAGEIFS(POS_elev,POS_Time,"&gt;="&amp;($C168+CONVERT(Variables!$C$12,"sec","day")),POS_Time,"&lt;="&amp;($D168-CONVERT(Variables!$C$12+1,"sec","day")),POS_Q,"&lt;="&amp;Variables!$C$11)-S168)</f>
        <v/>
      </c>
      <c r="J168" s="26" t="str">
        <f>IF($B168="","",'Rover CSV Data'!D168)</f>
        <v/>
      </c>
      <c r="K168" s="26" t="str">
        <f>IF($B168="","",'Rover CSV Data'!C168)</f>
        <v/>
      </c>
      <c r="L168" s="26" t="str">
        <f>IF($B168="","",'Rover CSV Data'!E168)</f>
        <v/>
      </c>
      <c r="M168" s="30" t="str">
        <f>IF($B168="","",AVERAGEIFS(sdn,POS_Time,"&gt;="&amp;($C168+CONVERT(Variables!$C$12,"sec","day")),POS_Time,"&lt;="&amp;($D168-CONVERT(Variables!$C$12+1,"sec","day")),POS_Q,"&lt;="&amp;Variables!$C$11))</f>
        <v/>
      </c>
      <c r="N168" s="31" t="str">
        <f>IF($B168="","",AVERAGEIFS(sde,POS_Time,"&gt;="&amp;($C168+CONVERT(Variables!$C$12,"sec","day")),POS_Time,"&lt;="&amp;($D168-CONVERT(Variables!$C$12+1,"sec","day")),POS_Q,"&lt;="&amp;Variables!$C$11))</f>
        <v/>
      </c>
      <c r="O168" s="31" t="str">
        <f>IF($B168="","",AVERAGEIFS(sdu,POS_Time,"&gt;="&amp;($C168+CONVERT(Variables!$C$12,"sec","day")),POS_Time,"&lt;="&amp;($D168-CONVERT(Variables!$C$12+1,"sec","day")),POS_Q,"&lt;="&amp;Variables!$C$11))</f>
        <v/>
      </c>
      <c r="P168" s="32" t="str">
        <f t="array" ref="P168">IF($B168="","",STDEV(IF(POS_Time&gt;=($C168+CONVERT(Variables!$C$12,"sec","day")),IF(POS_Time&lt;=($D168-CONVERT(Variables!$C$12+1,"sec","day")),IF(POS_Q&lt;=Variables!$C$11,POS_Lat)))))</f>
        <v/>
      </c>
      <c r="Q168" s="32" t="str">
        <f t="array" ref="Q168">IF($B168="","",STDEV(IF(POS_Time&gt;=($C168+CONVERT(Variables!$C$12,"sec","day")),IF(POS_Time&lt;=($D168-CONVERT(Variables!$C$12+1,"sec","day")),IF(POS_Q&lt;=Variables!$C$11,POS_Long)))))</f>
        <v/>
      </c>
      <c r="R168" s="32" t="str">
        <f t="array" ref="R168">IF($B168="","",STDEV(IF(POS_Time&gt;=($C168+CONVERT(Variables!$C$12,"sec","day")),IF(POS_Time&lt;=($D168-CONVERT(Variables!$C$12+1,"sec","day")),IF(POS_Q&lt;=Variables!$C$11,POS_elev)))))</f>
        <v/>
      </c>
      <c r="S168" s="30" t="str">
        <f>IF($B168="","",'Rover CSV Data'!K168)</f>
        <v/>
      </c>
      <c r="T168" s="26" t="str">
        <f>IF($B168="","",COUNTIFS(POS_Time,"&gt;="&amp;($C168+CONVERT(Variables!$C$12,"sec","day")),POS_Time,"&lt;="&amp;($D168-CONVERT(Variables!$C$12+1,"sec","day")),POS_Q,"&lt;="&amp;Variables!$C$11))</f>
        <v/>
      </c>
      <c r="U168" s="26" t="str">
        <f>IF($B168="","",IF(1&gt;Variables!$C$11,0,COUNTIFS(POS_Time,"&gt;="&amp;($C168+CONVERT(Variables!$C$12,"sec","day")),POS_Time,"&lt;="&amp;($D168-CONVERT(Variables!$C$12+1,"sec","day")),POS_Q,"=1")))</f>
        <v/>
      </c>
      <c r="V168" s="26" t="str">
        <f>IF($B168="","",IF(2&gt;Variables!$C$11,0,COUNTIFS(POS_Time,"&gt;="&amp;($C168+CONVERT(Variables!$C$12,"sec","day")),POS_Time,"&lt;="&amp;($D168-CONVERT(Variables!$C$12+1,"sec","day")),POS_Q,"=2")))</f>
        <v/>
      </c>
      <c r="W168" s="26" t="str">
        <f>IF($B168="","",IF(3&gt;Variables!$C$11,0,COUNTIFS(POS_Time,"&gt;="&amp;($C168+CONVERT(Variables!$C$12,"sec","day")),POS_Time,"&lt;="&amp;($D168-CONVERT(Variables!$C$12+1,"sec","day")),POS_Q,"=3")))</f>
        <v/>
      </c>
      <c r="X168" s="26" t="str">
        <f>IF($B168="","",IF(4&gt;Variables!$C$11,0,COUNTIFS(POS_Time,"&gt;="&amp;($C168+CONVERT(Variables!$C$12,"sec","day")),POS_Time,"&lt;="&amp;($D168-CONVERT(Variables!$C$12+1,"sec","day")),POS_Q,"=4")))</f>
        <v/>
      </c>
      <c r="Y168" s="26" t="str">
        <f>IF($B168="","",IF(5&gt;Variables!$C$11,0,COUNTIFS(POS_Time,"&gt;="&amp;($C168+CONVERT(Variables!$C$12,"sec","day")),POS_Time,"&lt;="&amp;($D168-CONVERT(Variables!$C$12+1,"sec","day")),POS_Q,"=5")))</f>
        <v/>
      </c>
      <c r="Z168" s="26" t="str">
        <f>IF($B168="","",IF(6&gt;Variables!$C$11,0,COUNTIFS(POS_Time,"&gt;="&amp;($C168+CONVERT(Variables!$C$12,"sec","day")),POS_Time,"&lt;="&amp;($D168-CONVERT(Variables!$C$12+1,"sec","day")),POS_Q,"=6")))</f>
        <v/>
      </c>
    </row>
    <row r="169" spans="1:26" x14ac:dyDescent="0.25">
      <c r="A169" s="2">
        <v>168</v>
      </c>
      <c r="B169" s="27" t="str">
        <f>IF((ROW()-1)&lt;=RoverStations,'Rover CSV Data'!B169,"")</f>
        <v/>
      </c>
      <c r="C169" s="28" t="str">
        <f>IF($B169="","",DATEVALUE(LEFT('Rover CSV Data'!F169,FIND(" ",'Rover CSV Data'!F169)-1))+TIMEVALUE(MID('Rover CSV Data'!F169,LEN('Rover CSV Data'!F169)-FIND(" ",'Rover CSV Data'!F169),(FIND(" UTC",'Rover CSV Data'!F169))-(LEN('Rover CSV Data'!F169)-FIND(" ",'Rover CSV Data'!F169)))))</f>
        <v/>
      </c>
      <c r="D169" s="28" t="str">
        <f>IF($B169="","",DATEVALUE(LEFT('Rover CSV Data'!G169,FIND(" ",'Rover CSV Data'!G169)-1))+TIMEVALUE(MID('Rover CSV Data'!G169,LEN('Rover CSV Data'!G169)-FIND(" ",'Rover CSV Data'!G169),(FIND(" UTC",'Rover CSV Data'!G169))-(LEN('Rover CSV Data'!G169)-FIND(" ",'Rover CSV Data'!G169)))))</f>
        <v/>
      </c>
      <c r="E169" s="29" t="str">
        <f t="shared" si="3"/>
        <v/>
      </c>
      <c r="F169" s="26" t="str">
        <f>IF($B169="","",'Rover CSV Data'!J169)</f>
        <v/>
      </c>
      <c r="G169" s="26" t="str">
        <f>IF($B169="","",AVERAGEIFS(POS_Lat,POS_Time,"&gt;="&amp;($C169+CONVERT(Variables!$C$12,"sec","day")),POS_Time,"&lt;="&amp;($D169-CONVERT(Variables!$C$12+1,"sec","day")),POS_Q,"&lt;="&amp;Variables!$C$11))</f>
        <v/>
      </c>
      <c r="H169" s="26" t="str">
        <f>IF($B169="","",AVERAGEIFS(POS_Long,POS_Time,"&gt;="&amp;($C169+CONVERT(Variables!$C$12,"sec","day")),POS_Time,"&lt;="&amp;($D169-CONVERT(Variables!$C$12+1,"sec","day")),POS_Q,"&lt;="&amp;Variables!$C$11))</f>
        <v/>
      </c>
      <c r="I169" s="30" t="str">
        <f>IF($B169="","",AVERAGEIFS(POS_elev,POS_Time,"&gt;="&amp;($C169+CONVERT(Variables!$C$12,"sec","day")),POS_Time,"&lt;="&amp;($D169-CONVERT(Variables!$C$12+1,"sec","day")),POS_Q,"&lt;="&amp;Variables!$C$11)-S169)</f>
        <v/>
      </c>
      <c r="J169" s="26" t="str">
        <f>IF($B169="","",'Rover CSV Data'!D169)</f>
        <v/>
      </c>
      <c r="K169" s="26" t="str">
        <f>IF($B169="","",'Rover CSV Data'!C169)</f>
        <v/>
      </c>
      <c r="L169" s="26" t="str">
        <f>IF($B169="","",'Rover CSV Data'!E169)</f>
        <v/>
      </c>
      <c r="M169" s="30" t="str">
        <f>IF($B169="","",AVERAGEIFS(sdn,POS_Time,"&gt;="&amp;($C169+CONVERT(Variables!$C$12,"sec","day")),POS_Time,"&lt;="&amp;($D169-CONVERT(Variables!$C$12+1,"sec","day")),POS_Q,"&lt;="&amp;Variables!$C$11))</f>
        <v/>
      </c>
      <c r="N169" s="31" t="str">
        <f>IF($B169="","",AVERAGEIFS(sde,POS_Time,"&gt;="&amp;($C169+CONVERT(Variables!$C$12,"sec","day")),POS_Time,"&lt;="&amp;($D169-CONVERT(Variables!$C$12+1,"sec","day")),POS_Q,"&lt;="&amp;Variables!$C$11))</f>
        <v/>
      </c>
      <c r="O169" s="31" t="str">
        <f>IF($B169="","",AVERAGEIFS(sdu,POS_Time,"&gt;="&amp;($C169+CONVERT(Variables!$C$12,"sec","day")),POS_Time,"&lt;="&amp;($D169-CONVERT(Variables!$C$12+1,"sec","day")),POS_Q,"&lt;="&amp;Variables!$C$11))</f>
        <v/>
      </c>
      <c r="P169" s="32" t="str">
        <f t="array" ref="P169">IF($B169="","",STDEV(IF(POS_Time&gt;=($C169+CONVERT(Variables!$C$12,"sec","day")),IF(POS_Time&lt;=($D169-CONVERT(Variables!$C$12+1,"sec","day")),IF(POS_Q&lt;=Variables!$C$11,POS_Lat)))))</f>
        <v/>
      </c>
      <c r="Q169" s="32" t="str">
        <f t="array" ref="Q169">IF($B169="","",STDEV(IF(POS_Time&gt;=($C169+CONVERT(Variables!$C$12,"sec","day")),IF(POS_Time&lt;=($D169-CONVERT(Variables!$C$12+1,"sec","day")),IF(POS_Q&lt;=Variables!$C$11,POS_Long)))))</f>
        <v/>
      </c>
      <c r="R169" s="32" t="str">
        <f t="array" ref="R169">IF($B169="","",STDEV(IF(POS_Time&gt;=($C169+CONVERT(Variables!$C$12,"sec","day")),IF(POS_Time&lt;=($D169-CONVERT(Variables!$C$12+1,"sec","day")),IF(POS_Q&lt;=Variables!$C$11,POS_elev)))))</f>
        <v/>
      </c>
      <c r="S169" s="30" t="str">
        <f>IF($B169="","",'Rover CSV Data'!K169)</f>
        <v/>
      </c>
      <c r="T169" s="26" t="str">
        <f>IF($B169="","",COUNTIFS(POS_Time,"&gt;="&amp;($C169+CONVERT(Variables!$C$12,"sec","day")),POS_Time,"&lt;="&amp;($D169-CONVERT(Variables!$C$12+1,"sec","day")),POS_Q,"&lt;="&amp;Variables!$C$11))</f>
        <v/>
      </c>
      <c r="U169" s="26" t="str">
        <f>IF($B169="","",IF(1&gt;Variables!$C$11,0,COUNTIFS(POS_Time,"&gt;="&amp;($C169+CONVERT(Variables!$C$12,"sec","day")),POS_Time,"&lt;="&amp;($D169-CONVERT(Variables!$C$12+1,"sec","day")),POS_Q,"=1")))</f>
        <v/>
      </c>
      <c r="V169" s="26" t="str">
        <f>IF($B169="","",IF(2&gt;Variables!$C$11,0,COUNTIFS(POS_Time,"&gt;="&amp;($C169+CONVERT(Variables!$C$12,"sec","day")),POS_Time,"&lt;="&amp;($D169-CONVERT(Variables!$C$12+1,"sec","day")),POS_Q,"=2")))</f>
        <v/>
      </c>
      <c r="W169" s="26" t="str">
        <f>IF($B169="","",IF(3&gt;Variables!$C$11,0,COUNTIFS(POS_Time,"&gt;="&amp;($C169+CONVERT(Variables!$C$12,"sec","day")),POS_Time,"&lt;="&amp;($D169-CONVERT(Variables!$C$12+1,"sec","day")),POS_Q,"=3")))</f>
        <v/>
      </c>
      <c r="X169" s="26" t="str">
        <f>IF($B169="","",IF(4&gt;Variables!$C$11,0,COUNTIFS(POS_Time,"&gt;="&amp;($C169+CONVERT(Variables!$C$12,"sec","day")),POS_Time,"&lt;="&amp;($D169-CONVERT(Variables!$C$12+1,"sec","day")),POS_Q,"=4")))</f>
        <v/>
      </c>
      <c r="Y169" s="26" t="str">
        <f>IF($B169="","",IF(5&gt;Variables!$C$11,0,COUNTIFS(POS_Time,"&gt;="&amp;($C169+CONVERT(Variables!$C$12,"sec","day")),POS_Time,"&lt;="&amp;($D169-CONVERT(Variables!$C$12+1,"sec","day")),POS_Q,"=5")))</f>
        <v/>
      </c>
      <c r="Z169" s="26" t="str">
        <f>IF($B169="","",IF(6&gt;Variables!$C$11,0,COUNTIFS(POS_Time,"&gt;="&amp;($C169+CONVERT(Variables!$C$12,"sec","day")),POS_Time,"&lt;="&amp;($D169-CONVERT(Variables!$C$12+1,"sec","day")),POS_Q,"=6")))</f>
        <v/>
      </c>
    </row>
    <row r="170" spans="1:26" x14ac:dyDescent="0.25">
      <c r="A170" s="2">
        <v>169</v>
      </c>
      <c r="B170" s="27" t="str">
        <f>IF((ROW()-1)&lt;=RoverStations,'Rover CSV Data'!B170,"")</f>
        <v/>
      </c>
      <c r="C170" s="28" t="str">
        <f>IF($B170="","",DATEVALUE(LEFT('Rover CSV Data'!F170,FIND(" ",'Rover CSV Data'!F170)-1))+TIMEVALUE(MID('Rover CSV Data'!F170,LEN('Rover CSV Data'!F170)-FIND(" ",'Rover CSV Data'!F170),(FIND(" UTC",'Rover CSV Data'!F170))-(LEN('Rover CSV Data'!F170)-FIND(" ",'Rover CSV Data'!F170)))))</f>
        <v/>
      </c>
      <c r="D170" s="28" t="str">
        <f>IF($B170="","",DATEVALUE(LEFT('Rover CSV Data'!G170,FIND(" ",'Rover CSV Data'!G170)-1))+TIMEVALUE(MID('Rover CSV Data'!G170,LEN('Rover CSV Data'!G170)-FIND(" ",'Rover CSV Data'!G170),(FIND(" UTC",'Rover CSV Data'!G170))-(LEN('Rover CSV Data'!G170)-FIND(" ",'Rover CSV Data'!G170)))))</f>
        <v/>
      </c>
      <c r="E170" s="29" t="str">
        <f t="shared" si="3"/>
        <v/>
      </c>
      <c r="F170" s="26" t="str">
        <f>IF($B170="","",'Rover CSV Data'!J170)</f>
        <v/>
      </c>
      <c r="G170" s="26" t="str">
        <f>IF($B170="","",AVERAGEIFS(POS_Lat,POS_Time,"&gt;="&amp;($C170+CONVERT(Variables!$C$12,"sec","day")),POS_Time,"&lt;="&amp;($D170-CONVERT(Variables!$C$12+1,"sec","day")),POS_Q,"&lt;="&amp;Variables!$C$11))</f>
        <v/>
      </c>
      <c r="H170" s="26" t="str">
        <f>IF($B170="","",AVERAGEIFS(POS_Long,POS_Time,"&gt;="&amp;($C170+CONVERT(Variables!$C$12,"sec","day")),POS_Time,"&lt;="&amp;($D170-CONVERT(Variables!$C$12+1,"sec","day")),POS_Q,"&lt;="&amp;Variables!$C$11))</f>
        <v/>
      </c>
      <c r="I170" s="30" t="str">
        <f>IF($B170="","",AVERAGEIFS(POS_elev,POS_Time,"&gt;="&amp;($C170+CONVERT(Variables!$C$12,"sec","day")),POS_Time,"&lt;="&amp;($D170-CONVERT(Variables!$C$12+1,"sec","day")),POS_Q,"&lt;="&amp;Variables!$C$11)-S170)</f>
        <v/>
      </c>
      <c r="J170" s="26" t="str">
        <f>IF($B170="","",'Rover CSV Data'!D170)</f>
        <v/>
      </c>
      <c r="K170" s="26" t="str">
        <f>IF($B170="","",'Rover CSV Data'!C170)</f>
        <v/>
      </c>
      <c r="L170" s="26" t="str">
        <f>IF($B170="","",'Rover CSV Data'!E170)</f>
        <v/>
      </c>
      <c r="M170" s="30" t="str">
        <f>IF($B170="","",AVERAGEIFS(sdn,POS_Time,"&gt;="&amp;($C170+CONVERT(Variables!$C$12,"sec","day")),POS_Time,"&lt;="&amp;($D170-CONVERT(Variables!$C$12+1,"sec","day")),POS_Q,"&lt;="&amp;Variables!$C$11))</f>
        <v/>
      </c>
      <c r="N170" s="31" t="str">
        <f>IF($B170="","",AVERAGEIFS(sde,POS_Time,"&gt;="&amp;($C170+CONVERT(Variables!$C$12,"sec","day")),POS_Time,"&lt;="&amp;($D170-CONVERT(Variables!$C$12+1,"sec","day")),POS_Q,"&lt;="&amp;Variables!$C$11))</f>
        <v/>
      </c>
      <c r="O170" s="31" t="str">
        <f>IF($B170="","",AVERAGEIFS(sdu,POS_Time,"&gt;="&amp;($C170+CONVERT(Variables!$C$12,"sec","day")),POS_Time,"&lt;="&amp;($D170-CONVERT(Variables!$C$12+1,"sec","day")),POS_Q,"&lt;="&amp;Variables!$C$11))</f>
        <v/>
      </c>
      <c r="P170" s="32" t="str">
        <f t="array" ref="P170">IF($B170="","",STDEV(IF(POS_Time&gt;=($C170+CONVERT(Variables!$C$12,"sec","day")),IF(POS_Time&lt;=($D170-CONVERT(Variables!$C$12+1,"sec","day")),IF(POS_Q&lt;=Variables!$C$11,POS_Lat)))))</f>
        <v/>
      </c>
      <c r="Q170" s="32" t="str">
        <f t="array" ref="Q170">IF($B170="","",STDEV(IF(POS_Time&gt;=($C170+CONVERT(Variables!$C$12,"sec","day")),IF(POS_Time&lt;=($D170-CONVERT(Variables!$C$12+1,"sec","day")),IF(POS_Q&lt;=Variables!$C$11,POS_Long)))))</f>
        <v/>
      </c>
      <c r="R170" s="32" t="str">
        <f t="array" ref="R170">IF($B170="","",STDEV(IF(POS_Time&gt;=($C170+CONVERT(Variables!$C$12,"sec","day")),IF(POS_Time&lt;=($D170-CONVERT(Variables!$C$12+1,"sec","day")),IF(POS_Q&lt;=Variables!$C$11,POS_elev)))))</f>
        <v/>
      </c>
      <c r="S170" s="30" t="str">
        <f>IF($B170="","",'Rover CSV Data'!K170)</f>
        <v/>
      </c>
      <c r="T170" s="26" t="str">
        <f>IF($B170="","",COUNTIFS(POS_Time,"&gt;="&amp;($C170+CONVERT(Variables!$C$12,"sec","day")),POS_Time,"&lt;="&amp;($D170-CONVERT(Variables!$C$12+1,"sec","day")),POS_Q,"&lt;="&amp;Variables!$C$11))</f>
        <v/>
      </c>
      <c r="U170" s="26" t="str">
        <f>IF($B170="","",IF(1&gt;Variables!$C$11,0,COUNTIFS(POS_Time,"&gt;="&amp;($C170+CONVERT(Variables!$C$12,"sec","day")),POS_Time,"&lt;="&amp;($D170-CONVERT(Variables!$C$12+1,"sec","day")),POS_Q,"=1")))</f>
        <v/>
      </c>
      <c r="V170" s="26" t="str">
        <f>IF($B170="","",IF(2&gt;Variables!$C$11,0,COUNTIFS(POS_Time,"&gt;="&amp;($C170+CONVERT(Variables!$C$12,"sec","day")),POS_Time,"&lt;="&amp;($D170-CONVERT(Variables!$C$12+1,"sec","day")),POS_Q,"=2")))</f>
        <v/>
      </c>
      <c r="W170" s="26" t="str">
        <f>IF($B170="","",IF(3&gt;Variables!$C$11,0,COUNTIFS(POS_Time,"&gt;="&amp;($C170+CONVERT(Variables!$C$12,"sec","day")),POS_Time,"&lt;="&amp;($D170-CONVERT(Variables!$C$12+1,"sec","day")),POS_Q,"=3")))</f>
        <v/>
      </c>
      <c r="X170" s="26" t="str">
        <f>IF($B170="","",IF(4&gt;Variables!$C$11,0,COUNTIFS(POS_Time,"&gt;="&amp;($C170+CONVERT(Variables!$C$12,"sec","day")),POS_Time,"&lt;="&amp;($D170-CONVERT(Variables!$C$12+1,"sec","day")),POS_Q,"=4")))</f>
        <v/>
      </c>
      <c r="Y170" s="26" t="str">
        <f>IF($B170="","",IF(5&gt;Variables!$C$11,0,COUNTIFS(POS_Time,"&gt;="&amp;($C170+CONVERT(Variables!$C$12,"sec","day")),POS_Time,"&lt;="&amp;($D170-CONVERT(Variables!$C$12+1,"sec","day")),POS_Q,"=5")))</f>
        <v/>
      </c>
      <c r="Z170" s="26" t="str">
        <f>IF($B170="","",IF(6&gt;Variables!$C$11,0,COUNTIFS(POS_Time,"&gt;="&amp;($C170+CONVERT(Variables!$C$12,"sec","day")),POS_Time,"&lt;="&amp;($D170-CONVERT(Variables!$C$12+1,"sec","day")),POS_Q,"=6")))</f>
        <v/>
      </c>
    </row>
    <row r="171" spans="1:26" x14ac:dyDescent="0.25">
      <c r="A171" s="2">
        <v>170</v>
      </c>
      <c r="B171" s="27" t="str">
        <f>IF((ROW()-1)&lt;=RoverStations,'Rover CSV Data'!B171,"")</f>
        <v/>
      </c>
      <c r="C171" s="28" t="str">
        <f>IF($B171="","",DATEVALUE(LEFT('Rover CSV Data'!F171,FIND(" ",'Rover CSV Data'!F171)-1))+TIMEVALUE(MID('Rover CSV Data'!F171,LEN('Rover CSV Data'!F171)-FIND(" ",'Rover CSV Data'!F171),(FIND(" UTC",'Rover CSV Data'!F171))-(LEN('Rover CSV Data'!F171)-FIND(" ",'Rover CSV Data'!F171)))))</f>
        <v/>
      </c>
      <c r="D171" s="28" t="str">
        <f>IF($B171="","",DATEVALUE(LEFT('Rover CSV Data'!G171,FIND(" ",'Rover CSV Data'!G171)-1))+TIMEVALUE(MID('Rover CSV Data'!G171,LEN('Rover CSV Data'!G171)-FIND(" ",'Rover CSV Data'!G171),(FIND(" UTC",'Rover CSV Data'!G171))-(LEN('Rover CSV Data'!G171)-FIND(" ",'Rover CSV Data'!G171)))))</f>
        <v/>
      </c>
      <c r="E171" s="29" t="str">
        <f t="shared" si="3"/>
        <v/>
      </c>
      <c r="F171" s="26" t="str">
        <f>IF($B171="","",'Rover CSV Data'!J171)</f>
        <v/>
      </c>
      <c r="G171" s="26" t="str">
        <f>IF($B171="","",AVERAGEIFS(POS_Lat,POS_Time,"&gt;="&amp;($C171+CONVERT(Variables!$C$12,"sec","day")),POS_Time,"&lt;="&amp;($D171-CONVERT(Variables!$C$12+1,"sec","day")),POS_Q,"&lt;="&amp;Variables!$C$11))</f>
        <v/>
      </c>
      <c r="H171" s="26" t="str">
        <f>IF($B171="","",AVERAGEIFS(POS_Long,POS_Time,"&gt;="&amp;($C171+CONVERT(Variables!$C$12,"sec","day")),POS_Time,"&lt;="&amp;($D171-CONVERT(Variables!$C$12+1,"sec","day")),POS_Q,"&lt;="&amp;Variables!$C$11))</f>
        <v/>
      </c>
      <c r="I171" s="30" t="str">
        <f>IF($B171="","",AVERAGEIFS(POS_elev,POS_Time,"&gt;="&amp;($C171+CONVERT(Variables!$C$12,"sec","day")),POS_Time,"&lt;="&amp;($D171-CONVERT(Variables!$C$12+1,"sec","day")),POS_Q,"&lt;="&amp;Variables!$C$11)-S171)</f>
        <v/>
      </c>
      <c r="J171" s="26" t="str">
        <f>IF($B171="","",'Rover CSV Data'!D171)</f>
        <v/>
      </c>
      <c r="K171" s="26" t="str">
        <f>IF($B171="","",'Rover CSV Data'!C171)</f>
        <v/>
      </c>
      <c r="L171" s="26" t="str">
        <f>IF($B171="","",'Rover CSV Data'!E171)</f>
        <v/>
      </c>
      <c r="M171" s="30" t="str">
        <f>IF($B171="","",AVERAGEIFS(sdn,POS_Time,"&gt;="&amp;($C171+CONVERT(Variables!$C$12,"sec","day")),POS_Time,"&lt;="&amp;($D171-CONVERT(Variables!$C$12+1,"sec","day")),POS_Q,"&lt;="&amp;Variables!$C$11))</f>
        <v/>
      </c>
      <c r="N171" s="31" t="str">
        <f>IF($B171="","",AVERAGEIFS(sde,POS_Time,"&gt;="&amp;($C171+CONVERT(Variables!$C$12,"sec","day")),POS_Time,"&lt;="&amp;($D171-CONVERT(Variables!$C$12+1,"sec","day")),POS_Q,"&lt;="&amp;Variables!$C$11))</f>
        <v/>
      </c>
      <c r="O171" s="31" t="str">
        <f>IF($B171="","",AVERAGEIFS(sdu,POS_Time,"&gt;="&amp;($C171+CONVERT(Variables!$C$12,"sec","day")),POS_Time,"&lt;="&amp;($D171-CONVERT(Variables!$C$12+1,"sec","day")),POS_Q,"&lt;="&amp;Variables!$C$11))</f>
        <v/>
      </c>
      <c r="P171" s="32" t="str">
        <f t="array" ref="P171">IF($B171="","",STDEV(IF(POS_Time&gt;=($C171+CONVERT(Variables!$C$12,"sec","day")),IF(POS_Time&lt;=($D171-CONVERT(Variables!$C$12+1,"sec","day")),IF(POS_Q&lt;=Variables!$C$11,POS_Lat)))))</f>
        <v/>
      </c>
      <c r="Q171" s="32" t="str">
        <f t="array" ref="Q171">IF($B171="","",STDEV(IF(POS_Time&gt;=($C171+CONVERT(Variables!$C$12,"sec","day")),IF(POS_Time&lt;=($D171-CONVERT(Variables!$C$12+1,"sec","day")),IF(POS_Q&lt;=Variables!$C$11,POS_Long)))))</f>
        <v/>
      </c>
      <c r="R171" s="32" t="str">
        <f t="array" ref="R171">IF($B171="","",STDEV(IF(POS_Time&gt;=($C171+CONVERT(Variables!$C$12,"sec","day")),IF(POS_Time&lt;=($D171-CONVERT(Variables!$C$12+1,"sec","day")),IF(POS_Q&lt;=Variables!$C$11,POS_elev)))))</f>
        <v/>
      </c>
      <c r="S171" s="30" t="str">
        <f>IF($B171="","",'Rover CSV Data'!K171)</f>
        <v/>
      </c>
      <c r="T171" s="26" t="str">
        <f>IF($B171="","",COUNTIFS(POS_Time,"&gt;="&amp;($C171+CONVERT(Variables!$C$12,"sec","day")),POS_Time,"&lt;="&amp;($D171-CONVERT(Variables!$C$12+1,"sec","day")),POS_Q,"&lt;="&amp;Variables!$C$11))</f>
        <v/>
      </c>
      <c r="U171" s="26" t="str">
        <f>IF($B171="","",IF(1&gt;Variables!$C$11,0,COUNTIFS(POS_Time,"&gt;="&amp;($C171+CONVERT(Variables!$C$12,"sec","day")),POS_Time,"&lt;="&amp;($D171-CONVERT(Variables!$C$12+1,"sec","day")),POS_Q,"=1")))</f>
        <v/>
      </c>
      <c r="V171" s="26" t="str">
        <f>IF($B171="","",IF(2&gt;Variables!$C$11,0,COUNTIFS(POS_Time,"&gt;="&amp;($C171+CONVERT(Variables!$C$12,"sec","day")),POS_Time,"&lt;="&amp;($D171-CONVERT(Variables!$C$12+1,"sec","day")),POS_Q,"=2")))</f>
        <v/>
      </c>
      <c r="W171" s="26" t="str">
        <f>IF($B171="","",IF(3&gt;Variables!$C$11,0,COUNTIFS(POS_Time,"&gt;="&amp;($C171+CONVERT(Variables!$C$12,"sec","day")),POS_Time,"&lt;="&amp;($D171-CONVERT(Variables!$C$12+1,"sec","day")),POS_Q,"=3")))</f>
        <v/>
      </c>
      <c r="X171" s="26" t="str">
        <f>IF($B171="","",IF(4&gt;Variables!$C$11,0,COUNTIFS(POS_Time,"&gt;="&amp;($C171+CONVERT(Variables!$C$12,"sec","day")),POS_Time,"&lt;="&amp;($D171-CONVERT(Variables!$C$12+1,"sec","day")),POS_Q,"=4")))</f>
        <v/>
      </c>
      <c r="Y171" s="26" t="str">
        <f>IF($B171="","",IF(5&gt;Variables!$C$11,0,COUNTIFS(POS_Time,"&gt;="&amp;($C171+CONVERT(Variables!$C$12,"sec","day")),POS_Time,"&lt;="&amp;($D171-CONVERT(Variables!$C$12+1,"sec","day")),POS_Q,"=5")))</f>
        <v/>
      </c>
      <c r="Z171" s="26" t="str">
        <f>IF($B171="","",IF(6&gt;Variables!$C$11,0,COUNTIFS(POS_Time,"&gt;="&amp;($C171+CONVERT(Variables!$C$12,"sec","day")),POS_Time,"&lt;="&amp;($D171-CONVERT(Variables!$C$12+1,"sec","day")),POS_Q,"=6")))</f>
        <v/>
      </c>
    </row>
    <row r="172" spans="1:26" x14ac:dyDescent="0.25">
      <c r="A172" s="2">
        <v>171</v>
      </c>
      <c r="B172" s="27" t="str">
        <f>IF((ROW()-1)&lt;=RoverStations,'Rover CSV Data'!B172,"")</f>
        <v/>
      </c>
      <c r="C172" s="28" t="str">
        <f>IF($B172="","",DATEVALUE(LEFT('Rover CSV Data'!F172,FIND(" ",'Rover CSV Data'!F172)-1))+TIMEVALUE(MID('Rover CSV Data'!F172,LEN('Rover CSV Data'!F172)-FIND(" ",'Rover CSV Data'!F172),(FIND(" UTC",'Rover CSV Data'!F172))-(LEN('Rover CSV Data'!F172)-FIND(" ",'Rover CSV Data'!F172)))))</f>
        <v/>
      </c>
      <c r="D172" s="28" t="str">
        <f>IF($B172="","",DATEVALUE(LEFT('Rover CSV Data'!G172,FIND(" ",'Rover CSV Data'!G172)-1))+TIMEVALUE(MID('Rover CSV Data'!G172,LEN('Rover CSV Data'!G172)-FIND(" ",'Rover CSV Data'!G172),(FIND(" UTC",'Rover CSV Data'!G172))-(LEN('Rover CSV Data'!G172)-FIND(" ",'Rover CSV Data'!G172)))))</f>
        <v/>
      </c>
      <c r="E172" s="29" t="str">
        <f t="shared" si="3"/>
        <v/>
      </c>
      <c r="F172" s="26" t="str">
        <f>IF($B172="","",'Rover CSV Data'!J172)</f>
        <v/>
      </c>
      <c r="G172" s="26" t="str">
        <f>IF($B172="","",AVERAGEIFS(POS_Lat,POS_Time,"&gt;="&amp;($C172+CONVERT(Variables!$C$12,"sec","day")),POS_Time,"&lt;="&amp;($D172-CONVERT(Variables!$C$12+1,"sec","day")),POS_Q,"&lt;="&amp;Variables!$C$11))</f>
        <v/>
      </c>
      <c r="H172" s="26" t="str">
        <f>IF($B172="","",AVERAGEIFS(POS_Long,POS_Time,"&gt;="&amp;($C172+CONVERT(Variables!$C$12,"sec","day")),POS_Time,"&lt;="&amp;($D172-CONVERT(Variables!$C$12+1,"sec","day")),POS_Q,"&lt;="&amp;Variables!$C$11))</f>
        <v/>
      </c>
      <c r="I172" s="30" t="str">
        <f>IF($B172="","",AVERAGEIFS(POS_elev,POS_Time,"&gt;="&amp;($C172+CONVERT(Variables!$C$12,"sec","day")),POS_Time,"&lt;="&amp;($D172-CONVERT(Variables!$C$12+1,"sec","day")),POS_Q,"&lt;="&amp;Variables!$C$11)-S172)</f>
        <v/>
      </c>
      <c r="J172" s="26" t="str">
        <f>IF($B172="","",'Rover CSV Data'!D172)</f>
        <v/>
      </c>
      <c r="K172" s="26" t="str">
        <f>IF($B172="","",'Rover CSV Data'!C172)</f>
        <v/>
      </c>
      <c r="L172" s="26" t="str">
        <f>IF($B172="","",'Rover CSV Data'!E172)</f>
        <v/>
      </c>
      <c r="M172" s="30" t="str">
        <f>IF($B172="","",AVERAGEIFS(sdn,POS_Time,"&gt;="&amp;($C172+CONVERT(Variables!$C$12,"sec","day")),POS_Time,"&lt;="&amp;($D172-CONVERT(Variables!$C$12+1,"sec","day")),POS_Q,"&lt;="&amp;Variables!$C$11))</f>
        <v/>
      </c>
      <c r="N172" s="31" t="str">
        <f>IF($B172="","",AVERAGEIFS(sde,POS_Time,"&gt;="&amp;($C172+CONVERT(Variables!$C$12,"sec","day")),POS_Time,"&lt;="&amp;($D172-CONVERT(Variables!$C$12+1,"sec","day")),POS_Q,"&lt;="&amp;Variables!$C$11))</f>
        <v/>
      </c>
      <c r="O172" s="31" t="str">
        <f>IF($B172="","",AVERAGEIFS(sdu,POS_Time,"&gt;="&amp;($C172+CONVERT(Variables!$C$12,"sec","day")),POS_Time,"&lt;="&amp;($D172-CONVERT(Variables!$C$12+1,"sec","day")),POS_Q,"&lt;="&amp;Variables!$C$11))</f>
        <v/>
      </c>
      <c r="P172" s="32" t="str">
        <f t="array" ref="P172">IF($B172="","",STDEV(IF(POS_Time&gt;=($C172+CONVERT(Variables!$C$12,"sec","day")),IF(POS_Time&lt;=($D172-CONVERT(Variables!$C$12+1,"sec","day")),IF(POS_Q&lt;=Variables!$C$11,POS_Lat)))))</f>
        <v/>
      </c>
      <c r="Q172" s="32" t="str">
        <f t="array" ref="Q172">IF($B172="","",STDEV(IF(POS_Time&gt;=($C172+CONVERT(Variables!$C$12,"sec","day")),IF(POS_Time&lt;=($D172-CONVERT(Variables!$C$12+1,"sec","day")),IF(POS_Q&lt;=Variables!$C$11,POS_Long)))))</f>
        <v/>
      </c>
      <c r="R172" s="32" t="str">
        <f t="array" ref="R172">IF($B172="","",STDEV(IF(POS_Time&gt;=($C172+CONVERT(Variables!$C$12,"sec","day")),IF(POS_Time&lt;=($D172-CONVERT(Variables!$C$12+1,"sec","day")),IF(POS_Q&lt;=Variables!$C$11,POS_elev)))))</f>
        <v/>
      </c>
      <c r="S172" s="30" t="str">
        <f>IF($B172="","",'Rover CSV Data'!K172)</f>
        <v/>
      </c>
      <c r="T172" s="26" t="str">
        <f>IF($B172="","",COUNTIFS(POS_Time,"&gt;="&amp;($C172+CONVERT(Variables!$C$12,"sec","day")),POS_Time,"&lt;="&amp;($D172-CONVERT(Variables!$C$12+1,"sec","day")),POS_Q,"&lt;="&amp;Variables!$C$11))</f>
        <v/>
      </c>
      <c r="U172" s="26" t="str">
        <f>IF($B172="","",IF(1&gt;Variables!$C$11,0,COUNTIFS(POS_Time,"&gt;="&amp;($C172+CONVERT(Variables!$C$12,"sec","day")),POS_Time,"&lt;="&amp;($D172-CONVERT(Variables!$C$12+1,"sec","day")),POS_Q,"=1")))</f>
        <v/>
      </c>
      <c r="V172" s="26" t="str">
        <f>IF($B172="","",IF(2&gt;Variables!$C$11,0,COUNTIFS(POS_Time,"&gt;="&amp;($C172+CONVERT(Variables!$C$12,"sec","day")),POS_Time,"&lt;="&amp;($D172-CONVERT(Variables!$C$12+1,"sec","day")),POS_Q,"=2")))</f>
        <v/>
      </c>
      <c r="W172" s="26" t="str">
        <f>IF($B172="","",IF(3&gt;Variables!$C$11,0,COUNTIFS(POS_Time,"&gt;="&amp;($C172+CONVERT(Variables!$C$12,"sec","day")),POS_Time,"&lt;="&amp;($D172-CONVERT(Variables!$C$12+1,"sec","day")),POS_Q,"=3")))</f>
        <v/>
      </c>
      <c r="X172" s="26" t="str">
        <f>IF($B172="","",IF(4&gt;Variables!$C$11,0,COUNTIFS(POS_Time,"&gt;="&amp;($C172+CONVERT(Variables!$C$12,"sec","day")),POS_Time,"&lt;="&amp;($D172-CONVERT(Variables!$C$12+1,"sec","day")),POS_Q,"=4")))</f>
        <v/>
      </c>
      <c r="Y172" s="26" t="str">
        <f>IF($B172="","",IF(5&gt;Variables!$C$11,0,COUNTIFS(POS_Time,"&gt;="&amp;($C172+CONVERT(Variables!$C$12,"sec","day")),POS_Time,"&lt;="&amp;($D172-CONVERT(Variables!$C$12+1,"sec","day")),POS_Q,"=5")))</f>
        <v/>
      </c>
      <c r="Z172" s="26" t="str">
        <f>IF($B172="","",IF(6&gt;Variables!$C$11,0,COUNTIFS(POS_Time,"&gt;="&amp;($C172+CONVERT(Variables!$C$12,"sec","day")),POS_Time,"&lt;="&amp;($D172-CONVERT(Variables!$C$12+1,"sec","day")),POS_Q,"=6")))</f>
        <v/>
      </c>
    </row>
    <row r="173" spans="1:26" x14ac:dyDescent="0.25">
      <c r="A173" s="2">
        <v>172</v>
      </c>
      <c r="B173" s="27" t="str">
        <f>IF((ROW()-1)&lt;=RoverStations,'Rover CSV Data'!B173,"")</f>
        <v/>
      </c>
      <c r="C173" s="28" t="str">
        <f>IF($B173="","",DATEVALUE(LEFT('Rover CSV Data'!F173,FIND(" ",'Rover CSV Data'!F173)-1))+TIMEVALUE(MID('Rover CSV Data'!F173,LEN('Rover CSV Data'!F173)-FIND(" ",'Rover CSV Data'!F173),(FIND(" UTC",'Rover CSV Data'!F173))-(LEN('Rover CSV Data'!F173)-FIND(" ",'Rover CSV Data'!F173)))))</f>
        <v/>
      </c>
      <c r="D173" s="28" t="str">
        <f>IF($B173="","",DATEVALUE(LEFT('Rover CSV Data'!G173,FIND(" ",'Rover CSV Data'!G173)-1))+TIMEVALUE(MID('Rover CSV Data'!G173,LEN('Rover CSV Data'!G173)-FIND(" ",'Rover CSV Data'!G173),(FIND(" UTC",'Rover CSV Data'!G173))-(LEN('Rover CSV Data'!G173)-FIND(" ",'Rover CSV Data'!G173)))))</f>
        <v/>
      </c>
      <c r="E173" s="29" t="str">
        <f t="shared" si="3"/>
        <v/>
      </c>
      <c r="F173" s="26" t="str">
        <f>IF($B173="","",'Rover CSV Data'!J173)</f>
        <v/>
      </c>
      <c r="G173" s="26" t="str">
        <f>IF($B173="","",AVERAGEIFS(POS_Lat,POS_Time,"&gt;="&amp;($C173+CONVERT(Variables!$C$12,"sec","day")),POS_Time,"&lt;="&amp;($D173-CONVERT(Variables!$C$12+1,"sec","day")),POS_Q,"&lt;="&amp;Variables!$C$11))</f>
        <v/>
      </c>
      <c r="H173" s="26" t="str">
        <f>IF($B173="","",AVERAGEIFS(POS_Long,POS_Time,"&gt;="&amp;($C173+CONVERT(Variables!$C$12,"sec","day")),POS_Time,"&lt;="&amp;($D173-CONVERT(Variables!$C$12+1,"sec","day")),POS_Q,"&lt;="&amp;Variables!$C$11))</f>
        <v/>
      </c>
      <c r="I173" s="30" t="str">
        <f>IF($B173="","",AVERAGEIFS(POS_elev,POS_Time,"&gt;="&amp;($C173+CONVERT(Variables!$C$12,"sec","day")),POS_Time,"&lt;="&amp;($D173-CONVERT(Variables!$C$12+1,"sec","day")),POS_Q,"&lt;="&amp;Variables!$C$11)-S173)</f>
        <v/>
      </c>
      <c r="J173" s="26" t="str">
        <f>IF($B173="","",'Rover CSV Data'!D173)</f>
        <v/>
      </c>
      <c r="K173" s="26" t="str">
        <f>IF($B173="","",'Rover CSV Data'!C173)</f>
        <v/>
      </c>
      <c r="L173" s="26" t="str">
        <f>IF($B173="","",'Rover CSV Data'!E173)</f>
        <v/>
      </c>
      <c r="M173" s="30" t="str">
        <f>IF($B173="","",AVERAGEIFS(sdn,POS_Time,"&gt;="&amp;($C173+CONVERT(Variables!$C$12,"sec","day")),POS_Time,"&lt;="&amp;($D173-CONVERT(Variables!$C$12+1,"sec","day")),POS_Q,"&lt;="&amp;Variables!$C$11))</f>
        <v/>
      </c>
      <c r="N173" s="31" t="str">
        <f>IF($B173="","",AVERAGEIFS(sde,POS_Time,"&gt;="&amp;($C173+CONVERT(Variables!$C$12,"sec","day")),POS_Time,"&lt;="&amp;($D173-CONVERT(Variables!$C$12+1,"sec","day")),POS_Q,"&lt;="&amp;Variables!$C$11))</f>
        <v/>
      </c>
      <c r="O173" s="31" t="str">
        <f>IF($B173="","",AVERAGEIFS(sdu,POS_Time,"&gt;="&amp;($C173+CONVERT(Variables!$C$12,"sec","day")),POS_Time,"&lt;="&amp;($D173-CONVERT(Variables!$C$12+1,"sec","day")),POS_Q,"&lt;="&amp;Variables!$C$11))</f>
        <v/>
      </c>
      <c r="P173" s="32" t="str">
        <f t="array" ref="P173">IF($B173="","",STDEV(IF(POS_Time&gt;=($C173+CONVERT(Variables!$C$12,"sec","day")),IF(POS_Time&lt;=($D173-CONVERT(Variables!$C$12+1,"sec","day")),IF(POS_Q&lt;=Variables!$C$11,POS_Lat)))))</f>
        <v/>
      </c>
      <c r="Q173" s="32" t="str">
        <f t="array" ref="Q173">IF($B173="","",STDEV(IF(POS_Time&gt;=($C173+CONVERT(Variables!$C$12,"sec","day")),IF(POS_Time&lt;=($D173-CONVERT(Variables!$C$12+1,"sec","day")),IF(POS_Q&lt;=Variables!$C$11,POS_Long)))))</f>
        <v/>
      </c>
      <c r="R173" s="32" t="str">
        <f t="array" ref="R173">IF($B173="","",STDEV(IF(POS_Time&gt;=($C173+CONVERT(Variables!$C$12,"sec","day")),IF(POS_Time&lt;=($D173-CONVERT(Variables!$C$12+1,"sec","day")),IF(POS_Q&lt;=Variables!$C$11,POS_elev)))))</f>
        <v/>
      </c>
      <c r="S173" s="30" t="str">
        <f>IF($B173="","",'Rover CSV Data'!K173)</f>
        <v/>
      </c>
      <c r="T173" s="26" t="str">
        <f>IF($B173="","",COUNTIFS(POS_Time,"&gt;="&amp;($C173+CONVERT(Variables!$C$12,"sec","day")),POS_Time,"&lt;="&amp;($D173-CONVERT(Variables!$C$12+1,"sec","day")),POS_Q,"&lt;="&amp;Variables!$C$11))</f>
        <v/>
      </c>
      <c r="U173" s="26" t="str">
        <f>IF($B173="","",IF(1&gt;Variables!$C$11,0,COUNTIFS(POS_Time,"&gt;="&amp;($C173+CONVERT(Variables!$C$12,"sec","day")),POS_Time,"&lt;="&amp;($D173-CONVERT(Variables!$C$12+1,"sec","day")),POS_Q,"=1")))</f>
        <v/>
      </c>
      <c r="V173" s="26" t="str">
        <f>IF($B173="","",IF(2&gt;Variables!$C$11,0,COUNTIFS(POS_Time,"&gt;="&amp;($C173+CONVERT(Variables!$C$12,"sec","day")),POS_Time,"&lt;="&amp;($D173-CONVERT(Variables!$C$12+1,"sec","day")),POS_Q,"=2")))</f>
        <v/>
      </c>
      <c r="W173" s="26" t="str">
        <f>IF($B173="","",IF(3&gt;Variables!$C$11,0,COUNTIFS(POS_Time,"&gt;="&amp;($C173+CONVERT(Variables!$C$12,"sec","day")),POS_Time,"&lt;="&amp;($D173-CONVERT(Variables!$C$12+1,"sec","day")),POS_Q,"=3")))</f>
        <v/>
      </c>
      <c r="X173" s="26" t="str">
        <f>IF($B173="","",IF(4&gt;Variables!$C$11,0,COUNTIFS(POS_Time,"&gt;="&amp;($C173+CONVERT(Variables!$C$12,"sec","day")),POS_Time,"&lt;="&amp;($D173-CONVERT(Variables!$C$12+1,"sec","day")),POS_Q,"=4")))</f>
        <v/>
      </c>
      <c r="Y173" s="26" t="str">
        <f>IF($B173="","",IF(5&gt;Variables!$C$11,0,COUNTIFS(POS_Time,"&gt;="&amp;($C173+CONVERT(Variables!$C$12,"sec","day")),POS_Time,"&lt;="&amp;($D173-CONVERT(Variables!$C$12+1,"sec","day")),POS_Q,"=5")))</f>
        <v/>
      </c>
      <c r="Z173" s="26" t="str">
        <f>IF($B173="","",IF(6&gt;Variables!$C$11,0,COUNTIFS(POS_Time,"&gt;="&amp;($C173+CONVERT(Variables!$C$12,"sec","day")),POS_Time,"&lt;="&amp;($D173-CONVERT(Variables!$C$12+1,"sec","day")),POS_Q,"=6")))</f>
        <v/>
      </c>
    </row>
    <row r="174" spans="1:26" x14ac:dyDescent="0.25">
      <c r="A174" s="2">
        <v>173</v>
      </c>
      <c r="B174" s="27" t="str">
        <f>IF((ROW()-1)&lt;=RoverStations,'Rover CSV Data'!B174,"")</f>
        <v/>
      </c>
      <c r="C174" s="28" t="str">
        <f>IF($B174="","",DATEVALUE(LEFT('Rover CSV Data'!F174,FIND(" ",'Rover CSV Data'!F174)-1))+TIMEVALUE(MID('Rover CSV Data'!F174,LEN('Rover CSV Data'!F174)-FIND(" ",'Rover CSV Data'!F174),(FIND(" UTC",'Rover CSV Data'!F174))-(LEN('Rover CSV Data'!F174)-FIND(" ",'Rover CSV Data'!F174)))))</f>
        <v/>
      </c>
      <c r="D174" s="28" t="str">
        <f>IF($B174="","",DATEVALUE(LEFT('Rover CSV Data'!G174,FIND(" ",'Rover CSV Data'!G174)-1))+TIMEVALUE(MID('Rover CSV Data'!G174,LEN('Rover CSV Data'!G174)-FIND(" ",'Rover CSV Data'!G174),(FIND(" UTC",'Rover CSV Data'!G174))-(LEN('Rover CSV Data'!G174)-FIND(" ",'Rover CSV Data'!G174)))))</f>
        <v/>
      </c>
      <c r="E174" s="29" t="str">
        <f t="shared" si="3"/>
        <v/>
      </c>
      <c r="F174" s="26" t="str">
        <f>IF($B174="","",'Rover CSV Data'!J174)</f>
        <v/>
      </c>
      <c r="G174" s="26" t="str">
        <f>IF($B174="","",AVERAGEIFS(POS_Lat,POS_Time,"&gt;="&amp;($C174+CONVERT(Variables!$C$12,"sec","day")),POS_Time,"&lt;="&amp;($D174-CONVERT(Variables!$C$12+1,"sec","day")),POS_Q,"&lt;="&amp;Variables!$C$11))</f>
        <v/>
      </c>
      <c r="H174" s="26" t="str">
        <f>IF($B174="","",AVERAGEIFS(POS_Long,POS_Time,"&gt;="&amp;($C174+CONVERT(Variables!$C$12,"sec","day")),POS_Time,"&lt;="&amp;($D174-CONVERT(Variables!$C$12+1,"sec","day")),POS_Q,"&lt;="&amp;Variables!$C$11))</f>
        <v/>
      </c>
      <c r="I174" s="30" t="str">
        <f>IF($B174="","",AVERAGEIFS(POS_elev,POS_Time,"&gt;="&amp;($C174+CONVERT(Variables!$C$12,"sec","day")),POS_Time,"&lt;="&amp;($D174-CONVERT(Variables!$C$12+1,"sec","day")),POS_Q,"&lt;="&amp;Variables!$C$11)-S174)</f>
        <v/>
      </c>
      <c r="J174" s="26" t="str">
        <f>IF($B174="","",'Rover CSV Data'!D174)</f>
        <v/>
      </c>
      <c r="K174" s="26" t="str">
        <f>IF($B174="","",'Rover CSV Data'!C174)</f>
        <v/>
      </c>
      <c r="L174" s="26" t="str">
        <f>IF($B174="","",'Rover CSV Data'!E174)</f>
        <v/>
      </c>
      <c r="M174" s="30" t="str">
        <f>IF($B174="","",AVERAGEIFS(sdn,POS_Time,"&gt;="&amp;($C174+CONVERT(Variables!$C$12,"sec","day")),POS_Time,"&lt;="&amp;($D174-CONVERT(Variables!$C$12+1,"sec","day")),POS_Q,"&lt;="&amp;Variables!$C$11))</f>
        <v/>
      </c>
      <c r="N174" s="31" t="str">
        <f>IF($B174="","",AVERAGEIFS(sde,POS_Time,"&gt;="&amp;($C174+CONVERT(Variables!$C$12,"sec","day")),POS_Time,"&lt;="&amp;($D174-CONVERT(Variables!$C$12+1,"sec","day")),POS_Q,"&lt;="&amp;Variables!$C$11))</f>
        <v/>
      </c>
      <c r="O174" s="31" t="str">
        <f>IF($B174="","",AVERAGEIFS(sdu,POS_Time,"&gt;="&amp;($C174+CONVERT(Variables!$C$12,"sec","day")),POS_Time,"&lt;="&amp;($D174-CONVERT(Variables!$C$12+1,"sec","day")),POS_Q,"&lt;="&amp;Variables!$C$11))</f>
        <v/>
      </c>
      <c r="P174" s="32" t="str">
        <f t="array" ref="P174">IF($B174="","",STDEV(IF(POS_Time&gt;=($C174+CONVERT(Variables!$C$12,"sec","day")),IF(POS_Time&lt;=($D174-CONVERT(Variables!$C$12+1,"sec","day")),IF(POS_Q&lt;=Variables!$C$11,POS_Lat)))))</f>
        <v/>
      </c>
      <c r="Q174" s="32" t="str">
        <f t="array" ref="Q174">IF($B174="","",STDEV(IF(POS_Time&gt;=($C174+CONVERT(Variables!$C$12,"sec","day")),IF(POS_Time&lt;=($D174-CONVERT(Variables!$C$12+1,"sec","day")),IF(POS_Q&lt;=Variables!$C$11,POS_Long)))))</f>
        <v/>
      </c>
      <c r="R174" s="32" t="str">
        <f t="array" ref="R174">IF($B174="","",STDEV(IF(POS_Time&gt;=($C174+CONVERT(Variables!$C$12,"sec","day")),IF(POS_Time&lt;=($D174-CONVERT(Variables!$C$12+1,"sec","day")),IF(POS_Q&lt;=Variables!$C$11,POS_elev)))))</f>
        <v/>
      </c>
      <c r="S174" s="30" t="str">
        <f>IF($B174="","",'Rover CSV Data'!K174)</f>
        <v/>
      </c>
      <c r="T174" s="26" t="str">
        <f>IF($B174="","",COUNTIFS(POS_Time,"&gt;="&amp;($C174+CONVERT(Variables!$C$12,"sec","day")),POS_Time,"&lt;="&amp;($D174-CONVERT(Variables!$C$12+1,"sec","day")),POS_Q,"&lt;="&amp;Variables!$C$11))</f>
        <v/>
      </c>
      <c r="U174" s="26" t="str">
        <f>IF($B174="","",IF(1&gt;Variables!$C$11,0,COUNTIFS(POS_Time,"&gt;="&amp;($C174+CONVERT(Variables!$C$12,"sec","day")),POS_Time,"&lt;="&amp;($D174-CONVERT(Variables!$C$12+1,"sec","day")),POS_Q,"=1")))</f>
        <v/>
      </c>
      <c r="V174" s="26" t="str">
        <f>IF($B174="","",IF(2&gt;Variables!$C$11,0,COUNTIFS(POS_Time,"&gt;="&amp;($C174+CONVERT(Variables!$C$12,"sec","day")),POS_Time,"&lt;="&amp;($D174-CONVERT(Variables!$C$12+1,"sec","day")),POS_Q,"=2")))</f>
        <v/>
      </c>
      <c r="W174" s="26" t="str">
        <f>IF($B174="","",IF(3&gt;Variables!$C$11,0,COUNTIFS(POS_Time,"&gt;="&amp;($C174+CONVERT(Variables!$C$12,"sec","day")),POS_Time,"&lt;="&amp;($D174-CONVERT(Variables!$C$12+1,"sec","day")),POS_Q,"=3")))</f>
        <v/>
      </c>
      <c r="X174" s="26" t="str">
        <f>IF($B174="","",IF(4&gt;Variables!$C$11,0,COUNTIFS(POS_Time,"&gt;="&amp;($C174+CONVERT(Variables!$C$12,"sec","day")),POS_Time,"&lt;="&amp;($D174-CONVERT(Variables!$C$12+1,"sec","day")),POS_Q,"=4")))</f>
        <v/>
      </c>
      <c r="Y174" s="26" t="str">
        <f>IF($B174="","",IF(5&gt;Variables!$C$11,0,COUNTIFS(POS_Time,"&gt;="&amp;($C174+CONVERT(Variables!$C$12,"sec","day")),POS_Time,"&lt;="&amp;($D174-CONVERT(Variables!$C$12+1,"sec","day")),POS_Q,"=5")))</f>
        <v/>
      </c>
      <c r="Z174" s="26" t="str">
        <f>IF($B174="","",IF(6&gt;Variables!$C$11,0,COUNTIFS(POS_Time,"&gt;="&amp;($C174+CONVERT(Variables!$C$12,"sec","day")),POS_Time,"&lt;="&amp;($D174-CONVERT(Variables!$C$12+1,"sec","day")),POS_Q,"=6")))</f>
        <v/>
      </c>
    </row>
    <row r="175" spans="1:26" x14ac:dyDescent="0.25">
      <c r="A175" s="2">
        <v>174</v>
      </c>
      <c r="B175" s="27" t="str">
        <f>IF((ROW()-1)&lt;=RoverStations,'Rover CSV Data'!B175,"")</f>
        <v/>
      </c>
      <c r="C175" s="28" t="str">
        <f>IF($B175="","",DATEVALUE(LEFT('Rover CSV Data'!F175,FIND(" ",'Rover CSV Data'!F175)-1))+TIMEVALUE(MID('Rover CSV Data'!F175,LEN('Rover CSV Data'!F175)-FIND(" ",'Rover CSV Data'!F175),(FIND(" UTC",'Rover CSV Data'!F175))-(LEN('Rover CSV Data'!F175)-FIND(" ",'Rover CSV Data'!F175)))))</f>
        <v/>
      </c>
      <c r="D175" s="28" t="str">
        <f>IF($B175="","",DATEVALUE(LEFT('Rover CSV Data'!G175,FIND(" ",'Rover CSV Data'!G175)-1))+TIMEVALUE(MID('Rover CSV Data'!G175,LEN('Rover CSV Data'!G175)-FIND(" ",'Rover CSV Data'!G175),(FIND(" UTC",'Rover CSV Data'!G175))-(LEN('Rover CSV Data'!G175)-FIND(" ",'Rover CSV Data'!G175)))))</f>
        <v/>
      </c>
      <c r="E175" s="29" t="str">
        <f t="shared" si="3"/>
        <v/>
      </c>
      <c r="F175" s="26" t="str">
        <f>IF($B175="","",'Rover CSV Data'!J175)</f>
        <v/>
      </c>
      <c r="G175" s="26" t="str">
        <f>IF($B175="","",AVERAGEIFS(POS_Lat,POS_Time,"&gt;="&amp;($C175+CONVERT(Variables!$C$12,"sec","day")),POS_Time,"&lt;="&amp;($D175-CONVERT(Variables!$C$12+1,"sec","day")),POS_Q,"&lt;="&amp;Variables!$C$11))</f>
        <v/>
      </c>
      <c r="H175" s="26" t="str">
        <f>IF($B175="","",AVERAGEIFS(POS_Long,POS_Time,"&gt;="&amp;($C175+CONVERT(Variables!$C$12,"sec","day")),POS_Time,"&lt;="&amp;($D175-CONVERT(Variables!$C$12+1,"sec","day")),POS_Q,"&lt;="&amp;Variables!$C$11))</f>
        <v/>
      </c>
      <c r="I175" s="30" t="str">
        <f>IF($B175="","",AVERAGEIFS(POS_elev,POS_Time,"&gt;="&amp;($C175+CONVERT(Variables!$C$12,"sec","day")),POS_Time,"&lt;="&amp;($D175-CONVERT(Variables!$C$12+1,"sec","day")),POS_Q,"&lt;="&amp;Variables!$C$11)-S175)</f>
        <v/>
      </c>
      <c r="J175" s="26" t="str">
        <f>IF($B175="","",'Rover CSV Data'!D175)</f>
        <v/>
      </c>
      <c r="K175" s="26" t="str">
        <f>IF($B175="","",'Rover CSV Data'!C175)</f>
        <v/>
      </c>
      <c r="L175" s="26" t="str">
        <f>IF($B175="","",'Rover CSV Data'!E175)</f>
        <v/>
      </c>
      <c r="M175" s="30" t="str">
        <f>IF($B175="","",AVERAGEIFS(sdn,POS_Time,"&gt;="&amp;($C175+CONVERT(Variables!$C$12,"sec","day")),POS_Time,"&lt;="&amp;($D175-CONVERT(Variables!$C$12+1,"sec","day")),POS_Q,"&lt;="&amp;Variables!$C$11))</f>
        <v/>
      </c>
      <c r="N175" s="31" t="str">
        <f>IF($B175="","",AVERAGEIFS(sde,POS_Time,"&gt;="&amp;($C175+CONVERT(Variables!$C$12,"sec","day")),POS_Time,"&lt;="&amp;($D175-CONVERT(Variables!$C$12+1,"sec","day")),POS_Q,"&lt;="&amp;Variables!$C$11))</f>
        <v/>
      </c>
      <c r="O175" s="31" t="str">
        <f>IF($B175="","",AVERAGEIFS(sdu,POS_Time,"&gt;="&amp;($C175+CONVERT(Variables!$C$12,"sec","day")),POS_Time,"&lt;="&amp;($D175-CONVERT(Variables!$C$12+1,"sec","day")),POS_Q,"&lt;="&amp;Variables!$C$11))</f>
        <v/>
      </c>
      <c r="P175" s="32" t="str">
        <f t="array" ref="P175">IF($B175="","",STDEV(IF(POS_Time&gt;=($C175+CONVERT(Variables!$C$12,"sec","day")),IF(POS_Time&lt;=($D175-CONVERT(Variables!$C$12+1,"sec","day")),IF(POS_Q&lt;=Variables!$C$11,POS_Lat)))))</f>
        <v/>
      </c>
      <c r="Q175" s="32" t="str">
        <f t="array" ref="Q175">IF($B175="","",STDEV(IF(POS_Time&gt;=($C175+CONVERT(Variables!$C$12,"sec","day")),IF(POS_Time&lt;=($D175-CONVERT(Variables!$C$12+1,"sec","day")),IF(POS_Q&lt;=Variables!$C$11,POS_Long)))))</f>
        <v/>
      </c>
      <c r="R175" s="32" t="str">
        <f t="array" ref="R175">IF($B175="","",STDEV(IF(POS_Time&gt;=($C175+CONVERT(Variables!$C$12,"sec","day")),IF(POS_Time&lt;=($D175-CONVERT(Variables!$C$12+1,"sec","day")),IF(POS_Q&lt;=Variables!$C$11,POS_elev)))))</f>
        <v/>
      </c>
      <c r="S175" s="30" t="str">
        <f>IF($B175="","",'Rover CSV Data'!K175)</f>
        <v/>
      </c>
      <c r="T175" s="26" t="str">
        <f>IF($B175="","",COUNTIFS(POS_Time,"&gt;="&amp;($C175+CONVERT(Variables!$C$12,"sec","day")),POS_Time,"&lt;="&amp;($D175-CONVERT(Variables!$C$12+1,"sec","day")),POS_Q,"&lt;="&amp;Variables!$C$11))</f>
        <v/>
      </c>
      <c r="U175" s="26" t="str">
        <f>IF($B175="","",IF(1&gt;Variables!$C$11,0,COUNTIFS(POS_Time,"&gt;="&amp;($C175+CONVERT(Variables!$C$12,"sec","day")),POS_Time,"&lt;="&amp;($D175-CONVERT(Variables!$C$12+1,"sec","day")),POS_Q,"=1")))</f>
        <v/>
      </c>
      <c r="V175" s="26" t="str">
        <f>IF($B175="","",IF(2&gt;Variables!$C$11,0,COUNTIFS(POS_Time,"&gt;="&amp;($C175+CONVERT(Variables!$C$12,"sec","day")),POS_Time,"&lt;="&amp;($D175-CONVERT(Variables!$C$12+1,"sec","day")),POS_Q,"=2")))</f>
        <v/>
      </c>
      <c r="W175" s="26" t="str">
        <f>IF($B175="","",IF(3&gt;Variables!$C$11,0,COUNTIFS(POS_Time,"&gt;="&amp;($C175+CONVERT(Variables!$C$12,"sec","day")),POS_Time,"&lt;="&amp;($D175-CONVERT(Variables!$C$12+1,"sec","day")),POS_Q,"=3")))</f>
        <v/>
      </c>
      <c r="X175" s="26" t="str">
        <f>IF($B175="","",IF(4&gt;Variables!$C$11,0,COUNTIFS(POS_Time,"&gt;="&amp;($C175+CONVERT(Variables!$C$12,"sec","day")),POS_Time,"&lt;="&amp;($D175-CONVERT(Variables!$C$12+1,"sec","day")),POS_Q,"=4")))</f>
        <v/>
      </c>
      <c r="Y175" s="26" t="str">
        <f>IF($B175="","",IF(5&gt;Variables!$C$11,0,COUNTIFS(POS_Time,"&gt;="&amp;($C175+CONVERT(Variables!$C$12,"sec","day")),POS_Time,"&lt;="&amp;($D175-CONVERT(Variables!$C$12+1,"sec","day")),POS_Q,"=5")))</f>
        <v/>
      </c>
      <c r="Z175" s="26" t="str">
        <f>IF($B175="","",IF(6&gt;Variables!$C$11,0,COUNTIFS(POS_Time,"&gt;="&amp;($C175+CONVERT(Variables!$C$12,"sec","day")),POS_Time,"&lt;="&amp;($D175-CONVERT(Variables!$C$12+1,"sec","day")),POS_Q,"=6")))</f>
        <v/>
      </c>
    </row>
    <row r="176" spans="1:26" x14ac:dyDescent="0.25">
      <c r="A176" s="2">
        <v>175</v>
      </c>
      <c r="B176" s="27" t="str">
        <f>IF((ROW()-1)&lt;=RoverStations,'Rover CSV Data'!B176,"")</f>
        <v/>
      </c>
      <c r="C176" s="28" t="str">
        <f>IF($B176="","",DATEVALUE(LEFT('Rover CSV Data'!F176,FIND(" ",'Rover CSV Data'!F176)-1))+TIMEVALUE(MID('Rover CSV Data'!F176,LEN('Rover CSV Data'!F176)-FIND(" ",'Rover CSV Data'!F176),(FIND(" UTC",'Rover CSV Data'!F176))-(LEN('Rover CSV Data'!F176)-FIND(" ",'Rover CSV Data'!F176)))))</f>
        <v/>
      </c>
      <c r="D176" s="28" t="str">
        <f>IF($B176="","",DATEVALUE(LEFT('Rover CSV Data'!G176,FIND(" ",'Rover CSV Data'!G176)-1))+TIMEVALUE(MID('Rover CSV Data'!G176,LEN('Rover CSV Data'!G176)-FIND(" ",'Rover CSV Data'!G176),(FIND(" UTC",'Rover CSV Data'!G176))-(LEN('Rover CSV Data'!G176)-FIND(" ",'Rover CSV Data'!G176)))))</f>
        <v/>
      </c>
      <c r="E176" s="29" t="str">
        <f t="shared" si="3"/>
        <v/>
      </c>
      <c r="F176" s="26" t="str">
        <f>IF($B176="","",'Rover CSV Data'!J176)</f>
        <v/>
      </c>
      <c r="G176" s="26" t="str">
        <f>IF($B176="","",AVERAGEIFS(POS_Lat,POS_Time,"&gt;="&amp;($C176+CONVERT(Variables!$C$12,"sec","day")),POS_Time,"&lt;="&amp;($D176-CONVERT(Variables!$C$12+1,"sec","day")),POS_Q,"&lt;="&amp;Variables!$C$11))</f>
        <v/>
      </c>
      <c r="H176" s="26" t="str">
        <f>IF($B176="","",AVERAGEIFS(POS_Long,POS_Time,"&gt;="&amp;($C176+CONVERT(Variables!$C$12,"sec","day")),POS_Time,"&lt;="&amp;($D176-CONVERT(Variables!$C$12+1,"sec","day")),POS_Q,"&lt;="&amp;Variables!$C$11))</f>
        <v/>
      </c>
      <c r="I176" s="30" t="str">
        <f>IF($B176="","",AVERAGEIFS(POS_elev,POS_Time,"&gt;="&amp;($C176+CONVERT(Variables!$C$12,"sec","day")),POS_Time,"&lt;="&amp;($D176-CONVERT(Variables!$C$12+1,"sec","day")),POS_Q,"&lt;="&amp;Variables!$C$11)-S176)</f>
        <v/>
      </c>
      <c r="J176" s="26" t="str">
        <f>IF($B176="","",'Rover CSV Data'!D176)</f>
        <v/>
      </c>
      <c r="K176" s="26" t="str">
        <f>IF($B176="","",'Rover CSV Data'!C176)</f>
        <v/>
      </c>
      <c r="L176" s="26" t="str">
        <f>IF($B176="","",'Rover CSV Data'!E176)</f>
        <v/>
      </c>
      <c r="M176" s="30" t="str">
        <f>IF($B176="","",AVERAGEIFS(sdn,POS_Time,"&gt;="&amp;($C176+CONVERT(Variables!$C$12,"sec","day")),POS_Time,"&lt;="&amp;($D176-CONVERT(Variables!$C$12+1,"sec","day")),POS_Q,"&lt;="&amp;Variables!$C$11))</f>
        <v/>
      </c>
      <c r="N176" s="31" t="str">
        <f>IF($B176="","",AVERAGEIFS(sde,POS_Time,"&gt;="&amp;($C176+CONVERT(Variables!$C$12,"sec","day")),POS_Time,"&lt;="&amp;($D176-CONVERT(Variables!$C$12+1,"sec","day")),POS_Q,"&lt;="&amp;Variables!$C$11))</f>
        <v/>
      </c>
      <c r="O176" s="31" t="str">
        <f>IF($B176="","",AVERAGEIFS(sdu,POS_Time,"&gt;="&amp;($C176+CONVERT(Variables!$C$12,"sec","day")),POS_Time,"&lt;="&amp;($D176-CONVERT(Variables!$C$12+1,"sec","day")),POS_Q,"&lt;="&amp;Variables!$C$11))</f>
        <v/>
      </c>
      <c r="P176" s="32" t="str">
        <f t="array" ref="P176">IF($B176="","",STDEV(IF(POS_Time&gt;=($C176+CONVERT(Variables!$C$12,"sec","day")),IF(POS_Time&lt;=($D176-CONVERT(Variables!$C$12+1,"sec","day")),IF(POS_Q&lt;=Variables!$C$11,POS_Lat)))))</f>
        <v/>
      </c>
      <c r="Q176" s="32" t="str">
        <f t="array" ref="Q176">IF($B176="","",STDEV(IF(POS_Time&gt;=($C176+CONVERT(Variables!$C$12,"sec","day")),IF(POS_Time&lt;=($D176-CONVERT(Variables!$C$12+1,"sec","day")),IF(POS_Q&lt;=Variables!$C$11,POS_Long)))))</f>
        <v/>
      </c>
      <c r="R176" s="32" t="str">
        <f t="array" ref="R176">IF($B176="","",STDEV(IF(POS_Time&gt;=($C176+CONVERT(Variables!$C$12,"sec","day")),IF(POS_Time&lt;=($D176-CONVERT(Variables!$C$12+1,"sec","day")),IF(POS_Q&lt;=Variables!$C$11,POS_elev)))))</f>
        <v/>
      </c>
      <c r="S176" s="30" t="str">
        <f>IF($B176="","",'Rover CSV Data'!K176)</f>
        <v/>
      </c>
      <c r="T176" s="26" t="str">
        <f>IF($B176="","",COUNTIFS(POS_Time,"&gt;="&amp;($C176+CONVERT(Variables!$C$12,"sec","day")),POS_Time,"&lt;="&amp;($D176-CONVERT(Variables!$C$12+1,"sec","day")),POS_Q,"&lt;="&amp;Variables!$C$11))</f>
        <v/>
      </c>
      <c r="U176" s="26" t="str">
        <f>IF($B176="","",IF(1&gt;Variables!$C$11,0,COUNTIFS(POS_Time,"&gt;="&amp;($C176+CONVERT(Variables!$C$12,"sec","day")),POS_Time,"&lt;="&amp;($D176-CONVERT(Variables!$C$12+1,"sec","day")),POS_Q,"=1")))</f>
        <v/>
      </c>
      <c r="V176" s="26" t="str">
        <f>IF($B176="","",IF(2&gt;Variables!$C$11,0,COUNTIFS(POS_Time,"&gt;="&amp;($C176+CONVERT(Variables!$C$12,"sec","day")),POS_Time,"&lt;="&amp;($D176-CONVERT(Variables!$C$12+1,"sec","day")),POS_Q,"=2")))</f>
        <v/>
      </c>
      <c r="W176" s="26" t="str">
        <f>IF($B176="","",IF(3&gt;Variables!$C$11,0,COUNTIFS(POS_Time,"&gt;="&amp;($C176+CONVERT(Variables!$C$12,"sec","day")),POS_Time,"&lt;="&amp;($D176-CONVERT(Variables!$C$12+1,"sec","day")),POS_Q,"=3")))</f>
        <v/>
      </c>
      <c r="X176" s="26" t="str">
        <f>IF($B176="","",IF(4&gt;Variables!$C$11,0,COUNTIFS(POS_Time,"&gt;="&amp;($C176+CONVERT(Variables!$C$12,"sec","day")),POS_Time,"&lt;="&amp;($D176-CONVERT(Variables!$C$12+1,"sec","day")),POS_Q,"=4")))</f>
        <v/>
      </c>
      <c r="Y176" s="26" t="str">
        <f>IF($B176="","",IF(5&gt;Variables!$C$11,0,COUNTIFS(POS_Time,"&gt;="&amp;($C176+CONVERT(Variables!$C$12,"sec","day")),POS_Time,"&lt;="&amp;($D176-CONVERT(Variables!$C$12+1,"sec","day")),POS_Q,"=5")))</f>
        <v/>
      </c>
      <c r="Z176" s="26" t="str">
        <f>IF($B176="","",IF(6&gt;Variables!$C$11,0,COUNTIFS(POS_Time,"&gt;="&amp;($C176+CONVERT(Variables!$C$12,"sec","day")),POS_Time,"&lt;="&amp;($D176-CONVERT(Variables!$C$12+1,"sec","day")),POS_Q,"=6")))</f>
        <v/>
      </c>
    </row>
    <row r="177" spans="1:26" x14ac:dyDescent="0.25">
      <c r="A177" s="2">
        <v>176</v>
      </c>
      <c r="B177" s="27" t="str">
        <f>IF((ROW()-1)&lt;=RoverStations,'Rover CSV Data'!B177,"")</f>
        <v/>
      </c>
      <c r="C177" s="28" t="str">
        <f>IF($B177="","",DATEVALUE(LEFT('Rover CSV Data'!F177,FIND(" ",'Rover CSV Data'!F177)-1))+TIMEVALUE(MID('Rover CSV Data'!F177,LEN('Rover CSV Data'!F177)-FIND(" ",'Rover CSV Data'!F177),(FIND(" UTC",'Rover CSV Data'!F177))-(LEN('Rover CSV Data'!F177)-FIND(" ",'Rover CSV Data'!F177)))))</f>
        <v/>
      </c>
      <c r="D177" s="28" t="str">
        <f>IF($B177="","",DATEVALUE(LEFT('Rover CSV Data'!G177,FIND(" ",'Rover CSV Data'!G177)-1))+TIMEVALUE(MID('Rover CSV Data'!G177,LEN('Rover CSV Data'!G177)-FIND(" ",'Rover CSV Data'!G177),(FIND(" UTC",'Rover CSV Data'!G177))-(LEN('Rover CSV Data'!G177)-FIND(" ",'Rover CSV Data'!G177)))))</f>
        <v/>
      </c>
      <c r="E177" s="29" t="str">
        <f t="shared" si="3"/>
        <v/>
      </c>
      <c r="F177" s="26" t="str">
        <f>IF($B177="","",'Rover CSV Data'!J177)</f>
        <v/>
      </c>
      <c r="G177" s="26" t="str">
        <f>IF($B177="","",AVERAGEIFS(POS_Lat,POS_Time,"&gt;="&amp;($C177+CONVERT(Variables!$C$12,"sec","day")),POS_Time,"&lt;="&amp;($D177-CONVERT(Variables!$C$12+1,"sec","day")),POS_Q,"&lt;="&amp;Variables!$C$11))</f>
        <v/>
      </c>
      <c r="H177" s="26" t="str">
        <f>IF($B177="","",AVERAGEIFS(POS_Long,POS_Time,"&gt;="&amp;($C177+CONVERT(Variables!$C$12,"sec","day")),POS_Time,"&lt;="&amp;($D177-CONVERT(Variables!$C$12+1,"sec","day")),POS_Q,"&lt;="&amp;Variables!$C$11))</f>
        <v/>
      </c>
      <c r="I177" s="30" t="str">
        <f>IF($B177="","",AVERAGEIFS(POS_elev,POS_Time,"&gt;="&amp;($C177+CONVERT(Variables!$C$12,"sec","day")),POS_Time,"&lt;="&amp;($D177-CONVERT(Variables!$C$12+1,"sec","day")),POS_Q,"&lt;="&amp;Variables!$C$11)-S177)</f>
        <v/>
      </c>
      <c r="J177" s="26" t="str">
        <f>IF($B177="","",'Rover CSV Data'!D177)</f>
        <v/>
      </c>
      <c r="K177" s="26" t="str">
        <f>IF($B177="","",'Rover CSV Data'!C177)</f>
        <v/>
      </c>
      <c r="L177" s="26" t="str">
        <f>IF($B177="","",'Rover CSV Data'!E177)</f>
        <v/>
      </c>
      <c r="M177" s="30" t="str">
        <f>IF($B177="","",AVERAGEIFS(sdn,POS_Time,"&gt;="&amp;($C177+CONVERT(Variables!$C$12,"sec","day")),POS_Time,"&lt;="&amp;($D177-CONVERT(Variables!$C$12+1,"sec","day")),POS_Q,"&lt;="&amp;Variables!$C$11))</f>
        <v/>
      </c>
      <c r="N177" s="31" t="str">
        <f>IF($B177="","",AVERAGEIFS(sde,POS_Time,"&gt;="&amp;($C177+CONVERT(Variables!$C$12,"sec","day")),POS_Time,"&lt;="&amp;($D177-CONVERT(Variables!$C$12+1,"sec","day")),POS_Q,"&lt;="&amp;Variables!$C$11))</f>
        <v/>
      </c>
      <c r="O177" s="31" t="str">
        <f>IF($B177="","",AVERAGEIFS(sdu,POS_Time,"&gt;="&amp;($C177+CONVERT(Variables!$C$12,"sec","day")),POS_Time,"&lt;="&amp;($D177-CONVERT(Variables!$C$12+1,"sec","day")),POS_Q,"&lt;="&amp;Variables!$C$11))</f>
        <v/>
      </c>
      <c r="P177" s="32" t="str">
        <f t="array" ref="P177">IF($B177="","",STDEV(IF(POS_Time&gt;=($C177+CONVERT(Variables!$C$12,"sec","day")),IF(POS_Time&lt;=($D177-CONVERT(Variables!$C$12+1,"sec","day")),IF(POS_Q&lt;=Variables!$C$11,POS_Lat)))))</f>
        <v/>
      </c>
      <c r="Q177" s="32" t="str">
        <f t="array" ref="Q177">IF($B177="","",STDEV(IF(POS_Time&gt;=($C177+CONVERT(Variables!$C$12,"sec","day")),IF(POS_Time&lt;=($D177-CONVERT(Variables!$C$12+1,"sec","day")),IF(POS_Q&lt;=Variables!$C$11,POS_Long)))))</f>
        <v/>
      </c>
      <c r="R177" s="32" t="str">
        <f t="array" ref="R177">IF($B177="","",STDEV(IF(POS_Time&gt;=($C177+CONVERT(Variables!$C$12,"sec","day")),IF(POS_Time&lt;=($D177-CONVERT(Variables!$C$12+1,"sec","day")),IF(POS_Q&lt;=Variables!$C$11,POS_elev)))))</f>
        <v/>
      </c>
      <c r="S177" s="30" t="str">
        <f>IF($B177="","",'Rover CSV Data'!K177)</f>
        <v/>
      </c>
      <c r="T177" s="26" t="str">
        <f>IF($B177="","",COUNTIFS(POS_Time,"&gt;="&amp;($C177+CONVERT(Variables!$C$12,"sec","day")),POS_Time,"&lt;="&amp;($D177-CONVERT(Variables!$C$12+1,"sec","day")),POS_Q,"&lt;="&amp;Variables!$C$11))</f>
        <v/>
      </c>
      <c r="U177" s="26" t="str">
        <f>IF($B177="","",IF(1&gt;Variables!$C$11,0,COUNTIFS(POS_Time,"&gt;="&amp;($C177+CONVERT(Variables!$C$12,"sec","day")),POS_Time,"&lt;="&amp;($D177-CONVERT(Variables!$C$12+1,"sec","day")),POS_Q,"=1")))</f>
        <v/>
      </c>
      <c r="V177" s="26" t="str">
        <f>IF($B177="","",IF(2&gt;Variables!$C$11,0,COUNTIFS(POS_Time,"&gt;="&amp;($C177+CONVERT(Variables!$C$12,"sec","day")),POS_Time,"&lt;="&amp;($D177-CONVERT(Variables!$C$12+1,"sec","day")),POS_Q,"=2")))</f>
        <v/>
      </c>
      <c r="W177" s="26" t="str">
        <f>IF($B177="","",IF(3&gt;Variables!$C$11,0,COUNTIFS(POS_Time,"&gt;="&amp;($C177+CONVERT(Variables!$C$12,"sec","day")),POS_Time,"&lt;="&amp;($D177-CONVERT(Variables!$C$12+1,"sec","day")),POS_Q,"=3")))</f>
        <v/>
      </c>
      <c r="X177" s="26" t="str">
        <f>IF($B177="","",IF(4&gt;Variables!$C$11,0,COUNTIFS(POS_Time,"&gt;="&amp;($C177+CONVERT(Variables!$C$12,"sec","day")),POS_Time,"&lt;="&amp;($D177-CONVERT(Variables!$C$12+1,"sec","day")),POS_Q,"=4")))</f>
        <v/>
      </c>
      <c r="Y177" s="26" t="str">
        <f>IF($B177="","",IF(5&gt;Variables!$C$11,0,COUNTIFS(POS_Time,"&gt;="&amp;($C177+CONVERT(Variables!$C$12,"sec","day")),POS_Time,"&lt;="&amp;($D177-CONVERT(Variables!$C$12+1,"sec","day")),POS_Q,"=5")))</f>
        <v/>
      </c>
      <c r="Z177" s="26" t="str">
        <f>IF($B177="","",IF(6&gt;Variables!$C$11,0,COUNTIFS(POS_Time,"&gt;="&amp;($C177+CONVERT(Variables!$C$12,"sec","day")),POS_Time,"&lt;="&amp;($D177-CONVERT(Variables!$C$12+1,"sec","day")),POS_Q,"=6")))</f>
        <v/>
      </c>
    </row>
    <row r="178" spans="1:26" x14ac:dyDescent="0.25">
      <c r="A178" s="2">
        <v>177</v>
      </c>
      <c r="B178" s="27" t="str">
        <f>IF((ROW()-1)&lt;=RoverStations,'Rover CSV Data'!B178,"")</f>
        <v/>
      </c>
      <c r="C178" s="28" t="str">
        <f>IF($B178="","",DATEVALUE(LEFT('Rover CSV Data'!F178,FIND(" ",'Rover CSV Data'!F178)-1))+TIMEVALUE(MID('Rover CSV Data'!F178,LEN('Rover CSV Data'!F178)-FIND(" ",'Rover CSV Data'!F178),(FIND(" UTC",'Rover CSV Data'!F178))-(LEN('Rover CSV Data'!F178)-FIND(" ",'Rover CSV Data'!F178)))))</f>
        <v/>
      </c>
      <c r="D178" s="28" t="str">
        <f>IF($B178="","",DATEVALUE(LEFT('Rover CSV Data'!G178,FIND(" ",'Rover CSV Data'!G178)-1))+TIMEVALUE(MID('Rover CSV Data'!G178,LEN('Rover CSV Data'!G178)-FIND(" ",'Rover CSV Data'!G178),(FIND(" UTC",'Rover CSV Data'!G178))-(LEN('Rover CSV Data'!G178)-FIND(" ",'Rover CSV Data'!G178)))))</f>
        <v/>
      </c>
      <c r="E178" s="29" t="str">
        <f t="shared" si="3"/>
        <v/>
      </c>
      <c r="F178" s="26" t="str">
        <f>IF($B178="","",'Rover CSV Data'!J178)</f>
        <v/>
      </c>
      <c r="G178" s="26" t="str">
        <f>IF($B178="","",AVERAGEIFS(POS_Lat,POS_Time,"&gt;="&amp;($C178+CONVERT(Variables!$C$12,"sec","day")),POS_Time,"&lt;="&amp;($D178-CONVERT(Variables!$C$12+1,"sec","day")),POS_Q,"&lt;="&amp;Variables!$C$11))</f>
        <v/>
      </c>
      <c r="H178" s="26" t="str">
        <f>IF($B178="","",AVERAGEIFS(POS_Long,POS_Time,"&gt;="&amp;($C178+CONVERT(Variables!$C$12,"sec","day")),POS_Time,"&lt;="&amp;($D178-CONVERT(Variables!$C$12+1,"sec","day")),POS_Q,"&lt;="&amp;Variables!$C$11))</f>
        <v/>
      </c>
      <c r="I178" s="30" t="str">
        <f>IF($B178="","",AVERAGEIFS(POS_elev,POS_Time,"&gt;="&amp;($C178+CONVERT(Variables!$C$12,"sec","day")),POS_Time,"&lt;="&amp;($D178-CONVERT(Variables!$C$12+1,"sec","day")),POS_Q,"&lt;="&amp;Variables!$C$11)-S178)</f>
        <v/>
      </c>
      <c r="J178" s="26" t="str">
        <f>IF($B178="","",'Rover CSV Data'!D178)</f>
        <v/>
      </c>
      <c r="K178" s="26" t="str">
        <f>IF($B178="","",'Rover CSV Data'!C178)</f>
        <v/>
      </c>
      <c r="L178" s="26" t="str">
        <f>IF($B178="","",'Rover CSV Data'!E178)</f>
        <v/>
      </c>
      <c r="M178" s="30" t="str">
        <f>IF($B178="","",AVERAGEIFS(sdn,POS_Time,"&gt;="&amp;($C178+CONVERT(Variables!$C$12,"sec","day")),POS_Time,"&lt;="&amp;($D178-CONVERT(Variables!$C$12+1,"sec","day")),POS_Q,"&lt;="&amp;Variables!$C$11))</f>
        <v/>
      </c>
      <c r="N178" s="31" t="str">
        <f>IF($B178="","",AVERAGEIFS(sde,POS_Time,"&gt;="&amp;($C178+CONVERT(Variables!$C$12,"sec","day")),POS_Time,"&lt;="&amp;($D178-CONVERT(Variables!$C$12+1,"sec","day")),POS_Q,"&lt;="&amp;Variables!$C$11))</f>
        <v/>
      </c>
      <c r="O178" s="31" t="str">
        <f>IF($B178="","",AVERAGEIFS(sdu,POS_Time,"&gt;="&amp;($C178+CONVERT(Variables!$C$12,"sec","day")),POS_Time,"&lt;="&amp;($D178-CONVERT(Variables!$C$12+1,"sec","day")),POS_Q,"&lt;="&amp;Variables!$C$11))</f>
        <v/>
      </c>
      <c r="P178" s="32" t="str">
        <f t="array" ref="P178">IF($B178="","",STDEV(IF(POS_Time&gt;=($C178+CONVERT(Variables!$C$12,"sec","day")),IF(POS_Time&lt;=($D178-CONVERT(Variables!$C$12+1,"sec","day")),IF(POS_Q&lt;=Variables!$C$11,POS_Lat)))))</f>
        <v/>
      </c>
      <c r="Q178" s="32" t="str">
        <f t="array" ref="Q178">IF($B178="","",STDEV(IF(POS_Time&gt;=($C178+CONVERT(Variables!$C$12,"sec","day")),IF(POS_Time&lt;=($D178-CONVERT(Variables!$C$12+1,"sec","day")),IF(POS_Q&lt;=Variables!$C$11,POS_Long)))))</f>
        <v/>
      </c>
      <c r="R178" s="32" t="str">
        <f t="array" ref="R178">IF($B178="","",STDEV(IF(POS_Time&gt;=($C178+CONVERT(Variables!$C$12,"sec","day")),IF(POS_Time&lt;=($D178-CONVERT(Variables!$C$12+1,"sec","day")),IF(POS_Q&lt;=Variables!$C$11,POS_elev)))))</f>
        <v/>
      </c>
      <c r="S178" s="30" t="str">
        <f>IF($B178="","",'Rover CSV Data'!K178)</f>
        <v/>
      </c>
      <c r="T178" s="26" t="str">
        <f>IF($B178="","",COUNTIFS(POS_Time,"&gt;="&amp;($C178+CONVERT(Variables!$C$12,"sec","day")),POS_Time,"&lt;="&amp;($D178-CONVERT(Variables!$C$12+1,"sec","day")),POS_Q,"&lt;="&amp;Variables!$C$11))</f>
        <v/>
      </c>
      <c r="U178" s="26" t="str">
        <f>IF($B178="","",IF(1&gt;Variables!$C$11,0,COUNTIFS(POS_Time,"&gt;="&amp;($C178+CONVERT(Variables!$C$12,"sec","day")),POS_Time,"&lt;="&amp;($D178-CONVERT(Variables!$C$12+1,"sec","day")),POS_Q,"=1")))</f>
        <v/>
      </c>
      <c r="V178" s="26" t="str">
        <f>IF($B178="","",IF(2&gt;Variables!$C$11,0,COUNTIFS(POS_Time,"&gt;="&amp;($C178+CONVERT(Variables!$C$12,"sec","day")),POS_Time,"&lt;="&amp;($D178-CONVERT(Variables!$C$12+1,"sec","day")),POS_Q,"=2")))</f>
        <v/>
      </c>
      <c r="W178" s="26" t="str">
        <f>IF($B178="","",IF(3&gt;Variables!$C$11,0,COUNTIFS(POS_Time,"&gt;="&amp;($C178+CONVERT(Variables!$C$12,"sec","day")),POS_Time,"&lt;="&amp;($D178-CONVERT(Variables!$C$12+1,"sec","day")),POS_Q,"=3")))</f>
        <v/>
      </c>
      <c r="X178" s="26" t="str">
        <f>IF($B178="","",IF(4&gt;Variables!$C$11,0,COUNTIFS(POS_Time,"&gt;="&amp;($C178+CONVERT(Variables!$C$12,"sec","day")),POS_Time,"&lt;="&amp;($D178-CONVERT(Variables!$C$12+1,"sec","day")),POS_Q,"=4")))</f>
        <v/>
      </c>
      <c r="Y178" s="26" t="str">
        <f>IF($B178="","",IF(5&gt;Variables!$C$11,0,COUNTIFS(POS_Time,"&gt;="&amp;($C178+CONVERT(Variables!$C$12,"sec","day")),POS_Time,"&lt;="&amp;($D178-CONVERT(Variables!$C$12+1,"sec","day")),POS_Q,"=5")))</f>
        <v/>
      </c>
      <c r="Z178" s="26" t="str">
        <f>IF($B178="","",IF(6&gt;Variables!$C$11,0,COUNTIFS(POS_Time,"&gt;="&amp;($C178+CONVERT(Variables!$C$12,"sec","day")),POS_Time,"&lt;="&amp;($D178-CONVERT(Variables!$C$12+1,"sec","day")),POS_Q,"=6")))</f>
        <v/>
      </c>
    </row>
    <row r="179" spans="1:26" x14ac:dyDescent="0.25">
      <c r="A179" s="2">
        <v>178</v>
      </c>
      <c r="B179" s="27" t="str">
        <f>IF((ROW()-1)&lt;=RoverStations,'Rover CSV Data'!B179,"")</f>
        <v/>
      </c>
      <c r="C179" s="28" t="str">
        <f>IF($B179="","",DATEVALUE(LEFT('Rover CSV Data'!F179,FIND(" ",'Rover CSV Data'!F179)-1))+TIMEVALUE(MID('Rover CSV Data'!F179,LEN('Rover CSV Data'!F179)-FIND(" ",'Rover CSV Data'!F179),(FIND(" UTC",'Rover CSV Data'!F179))-(LEN('Rover CSV Data'!F179)-FIND(" ",'Rover CSV Data'!F179)))))</f>
        <v/>
      </c>
      <c r="D179" s="28" t="str">
        <f>IF($B179="","",DATEVALUE(LEFT('Rover CSV Data'!G179,FIND(" ",'Rover CSV Data'!G179)-1))+TIMEVALUE(MID('Rover CSV Data'!G179,LEN('Rover CSV Data'!G179)-FIND(" ",'Rover CSV Data'!G179),(FIND(" UTC",'Rover CSV Data'!G179))-(LEN('Rover CSV Data'!G179)-FIND(" ",'Rover CSV Data'!G179)))))</f>
        <v/>
      </c>
      <c r="E179" s="29" t="str">
        <f t="shared" si="3"/>
        <v/>
      </c>
      <c r="F179" s="26" t="str">
        <f>IF($B179="","",'Rover CSV Data'!J179)</f>
        <v/>
      </c>
      <c r="G179" s="26" t="str">
        <f>IF($B179="","",AVERAGEIFS(POS_Lat,POS_Time,"&gt;="&amp;($C179+CONVERT(Variables!$C$12,"sec","day")),POS_Time,"&lt;="&amp;($D179-CONVERT(Variables!$C$12+1,"sec","day")),POS_Q,"&lt;="&amp;Variables!$C$11))</f>
        <v/>
      </c>
      <c r="H179" s="26" t="str">
        <f>IF($B179="","",AVERAGEIFS(POS_Long,POS_Time,"&gt;="&amp;($C179+CONVERT(Variables!$C$12,"sec","day")),POS_Time,"&lt;="&amp;($D179-CONVERT(Variables!$C$12+1,"sec","day")),POS_Q,"&lt;="&amp;Variables!$C$11))</f>
        <v/>
      </c>
      <c r="I179" s="30" t="str">
        <f>IF($B179="","",AVERAGEIFS(POS_elev,POS_Time,"&gt;="&amp;($C179+CONVERT(Variables!$C$12,"sec","day")),POS_Time,"&lt;="&amp;($D179-CONVERT(Variables!$C$12+1,"sec","day")),POS_Q,"&lt;="&amp;Variables!$C$11)-S179)</f>
        <v/>
      </c>
      <c r="J179" s="26" t="str">
        <f>IF($B179="","",'Rover CSV Data'!D179)</f>
        <v/>
      </c>
      <c r="K179" s="26" t="str">
        <f>IF($B179="","",'Rover CSV Data'!C179)</f>
        <v/>
      </c>
      <c r="L179" s="26" t="str">
        <f>IF($B179="","",'Rover CSV Data'!E179)</f>
        <v/>
      </c>
      <c r="M179" s="30" t="str">
        <f>IF($B179="","",AVERAGEIFS(sdn,POS_Time,"&gt;="&amp;($C179+CONVERT(Variables!$C$12,"sec","day")),POS_Time,"&lt;="&amp;($D179-CONVERT(Variables!$C$12+1,"sec","day")),POS_Q,"&lt;="&amp;Variables!$C$11))</f>
        <v/>
      </c>
      <c r="N179" s="31" t="str">
        <f>IF($B179="","",AVERAGEIFS(sde,POS_Time,"&gt;="&amp;($C179+CONVERT(Variables!$C$12,"sec","day")),POS_Time,"&lt;="&amp;($D179-CONVERT(Variables!$C$12+1,"sec","day")),POS_Q,"&lt;="&amp;Variables!$C$11))</f>
        <v/>
      </c>
      <c r="O179" s="31" t="str">
        <f>IF($B179="","",AVERAGEIFS(sdu,POS_Time,"&gt;="&amp;($C179+CONVERT(Variables!$C$12,"sec","day")),POS_Time,"&lt;="&amp;($D179-CONVERT(Variables!$C$12+1,"sec","day")),POS_Q,"&lt;="&amp;Variables!$C$11))</f>
        <v/>
      </c>
      <c r="P179" s="32" t="str">
        <f t="array" ref="P179">IF($B179="","",STDEV(IF(POS_Time&gt;=($C179+CONVERT(Variables!$C$12,"sec","day")),IF(POS_Time&lt;=($D179-CONVERT(Variables!$C$12+1,"sec","day")),IF(POS_Q&lt;=Variables!$C$11,POS_Lat)))))</f>
        <v/>
      </c>
      <c r="Q179" s="32" t="str">
        <f t="array" ref="Q179">IF($B179="","",STDEV(IF(POS_Time&gt;=($C179+CONVERT(Variables!$C$12,"sec","day")),IF(POS_Time&lt;=($D179-CONVERT(Variables!$C$12+1,"sec","day")),IF(POS_Q&lt;=Variables!$C$11,POS_Long)))))</f>
        <v/>
      </c>
      <c r="R179" s="32" t="str">
        <f t="array" ref="R179">IF($B179="","",STDEV(IF(POS_Time&gt;=($C179+CONVERT(Variables!$C$12,"sec","day")),IF(POS_Time&lt;=($D179-CONVERT(Variables!$C$12+1,"sec","day")),IF(POS_Q&lt;=Variables!$C$11,POS_elev)))))</f>
        <v/>
      </c>
      <c r="S179" s="30" t="str">
        <f>IF($B179="","",'Rover CSV Data'!K179)</f>
        <v/>
      </c>
      <c r="T179" s="26" t="str">
        <f>IF($B179="","",COUNTIFS(POS_Time,"&gt;="&amp;($C179+CONVERT(Variables!$C$12,"sec","day")),POS_Time,"&lt;="&amp;($D179-CONVERT(Variables!$C$12+1,"sec","day")),POS_Q,"&lt;="&amp;Variables!$C$11))</f>
        <v/>
      </c>
      <c r="U179" s="26" t="str">
        <f>IF($B179="","",IF(1&gt;Variables!$C$11,0,COUNTIFS(POS_Time,"&gt;="&amp;($C179+CONVERT(Variables!$C$12,"sec","day")),POS_Time,"&lt;="&amp;($D179-CONVERT(Variables!$C$12+1,"sec","day")),POS_Q,"=1")))</f>
        <v/>
      </c>
      <c r="V179" s="26" t="str">
        <f>IF($B179="","",IF(2&gt;Variables!$C$11,0,COUNTIFS(POS_Time,"&gt;="&amp;($C179+CONVERT(Variables!$C$12,"sec","day")),POS_Time,"&lt;="&amp;($D179-CONVERT(Variables!$C$12+1,"sec","day")),POS_Q,"=2")))</f>
        <v/>
      </c>
      <c r="W179" s="26" t="str">
        <f>IF($B179="","",IF(3&gt;Variables!$C$11,0,COUNTIFS(POS_Time,"&gt;="&amp;($C179+CONVERT(Variables!$C$12,"sec","day")),POS_Time,"&lt;="&amp;($D179-CONVERT(Variables!$C$12+1,"sec","day")),POS_Q,"=3")))</f>
        <v/>
      </c>
      <c r="X179" s="26" t="str">
        <f>IF($B179="","",IF(4&gt;Variables!$C$11,0,COUNTIFS(POS_Time,"&gt;="&amp;($C179+CONVERT(Variables!$C$12,"sec","day")),POS_Time,"&lt;="&amp;($D179-CONVERT(Variables!$C$12+1,"sec","day")),POS_Q,"=4")))</f>
        <v/>
      </c>
      <c r="Y179" s="26" t="str">
        <f>IF($B179="","",IF(5&gt;Variables!$C$11,0,COUNTIFS(POS_Time,"&gt;="&amp;($C179+CONVERT(Variables!$C$12,"sec","day")),POS_Time,"&lt;="&amp;($D179-CONVERT(Variables!$C$12+1,"sec","day")),POS_Q,"=5")))</f>
        <v/>
      </c>
      <c r="Z179" s="26" t="str">
        <f>IF($B179="","",IF(6&gt;Variables!$C$11,0,COUNTIFS(POS_Time,"&gt;="&amp;($C179+CONVERT(Variables!$C$12,"sec","day")),POS_Time,"&lt;="&amp;($D179-CONVERT(Variables!$C$12+1,"sec","day")),POS_Q,"=6")))</f>
        <v/>
      </c>
    </row>
    <row r="180" spans="1:26" x14ac:dyDescent="0.25">
      <c r="A180" s="2">
        <v>179</v>
      </c>
      <c r="B180" s="27" t="str">
        <f>IF((ROW()-1)&lt;=RoverStations,'Rover CSV Data'!B180,"")</f>
        <v/>
      </c>
      <c r="C180" s="28" t="str">
        <f>IF($B180="","",DATEVALUE(LEFT('Rover CSV Data'!F180,FIND(" ",'Rover CSV Data'!F180)-1))+TIMEVALUE(MID('Rover CSV Data'!F180,LEN('Rover CSV Data'!F180)-FIND(" ",'Rover CSV Data'!F180),(FIND(" UTC",'Rover CSV Data'!F180))-(LEN('Rover CSV Data'!F180)-FIND(" ",'Rover CSV Data'!F180)))))</f>
        <v/>
      </c>
      <c r="D180" s="28" t="str">
        <f>IF($B180="","",DATEVALUE(LEFT('Rover CSV Data'!G180,FIND(" ",'Rover CSV Data'!G180)-1))+TIMEVALUE(MID('Rover CSV Data'!G180,LEN('Rover CSV Data'!G180)-FIND(" ",'Rover CSV Data'!G180),(FIND(" UTC",'Rover CSV Data'!G180))-(LEN('Rover CSV Data'!G180)-FIND(" ",'Rover CSV Data'!G180)))))</f>
        <v/>
      </c>
      <c r="E180" s="29" t="str">
        <f t="shared" si="3"/>
        <v/>
      </c>
      <c r="F180" s="26" t="str">
        <f>IF($B180="","",'Rover CSV Data'!J180)</f>
        <v/>
      </c>
      <c r="G180" s="26" t="str">
        <f>IF($B180="","",AVERAGEIFS(POS_Lat,POS_Time,"&gt;="&amp;($C180+CONVERT(Variables!$C$12,"sec","day")),POS_Time,"&lt;="&amp;($D180-CONVERT(Variables!$C$12+1,"sec","day")),POS_Q,"&lt;="&amp;Variables!$C$11))</f>
        <v/>
      </c>
      <c r="H180" s="26" t="str">
        <f>IF($B180="","",AVERAGEIFS(POS_Long,POS_Time,"&gt;="&amp;($C180+CONVERT(Variables!$C$12,"sec","day")),POS_Time,"&lt;="&amp;($D180-CONVERT(Variables!$C$12+1,"sec","day")),POS_Q,"&lt;="&amp;Variables!$C$11))</f>
        <v/>
      </c>
      <c r="I180" s="30" t="str">
        <f>IF($B180="","",AVERAGEIFS(POS_elev,POS_Time,"&gt;="&amp;($C180+CONVERT(Variables!$C$12,"sec","day")),POS_Time,"&lt;="&amp;($D180-CONVERT(Variables!$C$12+1,"sec","day")),POS_Q,"&lt;="&amp;Variables!$C$11)-S180)</f>
        <v/>
      </c>
      <c r="J180" s="26" t="str">
        <f>IF($B180="","",'Rover CSV Data'!D180)</f>
        <v/>
      </c>
      <c r="K180" s="26" t="str">
        <f>IF($B180="","",'Rover CSV Data'!C180)</f>
        <v/>
      </c>
      <c r="L180" s="26" t="str">
        <f>IF($B180="","",'Rover CSV Data'!E180)</f>
        <v/>
      </c>
      <c r="M180" s="30" t="str">
        <f>IF($B180="","",AVERAGEIFS(sdn,POS_Time,"&gt;="&amp;($C180+CONVERT(Variables!$C$12,"sec","day")),POS_Time,"&lt;="&amp;($D180-CONVERT(Variables!$C$12+1,"sec","day")),POS_Q,"&lt;="&amp;Variables!$C$11))</f>
        <v/>
      </c>
      <c r="N180" s="31" t="str">
        <f>IF($B180="","",AVERAGEIFS(sde,POS_Time,"&gt;="&amp;($C180+CONVERT(Variables!$C$12,"sec","day")),POS_Time,"&lt;="&amp;($D180-CONVERT(Variables!$C$12+1,"sec","day")),POS_Q,"&lt;="&amp;Variables!$C$11))</f>
        <v/>
      </c>
      <c r="O180" s="31" t="str">
        <f>IF($B180="","",AVERAGEIFS(sdu,POS_Time,"&gt;="&amp;($C180+CONVERT(Variables!$C$12,"sec","day")),POS_Time,"&lt;="&amp;($D180-CONVERT(Variables!$C$12+1,"sec","day")),POS_Q,"&lt;="&amp;Variables!$C$11))</f>
        <v/>
      </c>
      <c r="P180" s="32" t="str">
        <f t="array" ref="P180">IF($B180="","",STDEV(IF(POS_Time&gt;=($C180+CONVERT(Variables!$C$12,"sec","day")),IF(POS_Time&lt;=($D180-CONVERT(Variables!$C$12+1,"sec","day")),IF(POS_Q&lt;=Variables!$C$11,POS_Lat)))))</f>
        <v/>
      </c>
      <c r="Q180" s="32" t="str">
        <f t="array" ref="Q180">IF($B180="","",STDEV(IF(POS_Time&gt;=($C180+CONVERT(Variables!$C$12,"sec","day")),IF(POS_Time&lt;=($D180-CONVERT(Variables!$C$12+1,"sec","day")),IF(POS_Q&lt;=Variables!$C$11,POS_Long)))))</f>
        <v/>
      </c>
      <c r="R180" s="32" t="str">
        <f t="array" ref="R180">IF($B180="","",STDEV(IF(POS_Time&gt;=($C180+CONVERT(Variables!$C$12,"sec","day")),IF(POS_Time&lt;=($D180-CONVERT(Variables!$C$12+1,"sec","day")),IF(POS_Q&lt;=Variables!$C$11,POS_elev)))))</f>
        <v/>
      </c>
      <c r="S180" s="30" t="str">
        <f>IF($B180="","",'Rover CSV Data'!K180)</f>
        <v/>
      </c>
      <c r="T180" s="26" t="str">
        <f>IF($B180="","",COUNTIFS(POS_Time,"&gt;="&amp;($C180+CONVERT(Variables!$C$12,"sec","day")),POS_Time,"&lt;="&amp;($D180-CONVERT(Variables!$C$12+1,"sec","day")),POS_Q,"&lt;="&amp;Variables!$C$11))</f>
        <v/>
      </c>
      <c r="U180" s="26" t="str">
        <f>IF($B180="","",IF(1&gt;Variables!$C$11,0,COUNTIFS(POS_Time,"&gt;="&amp;($C180+CONVERT(Variables!$C$12,"sec","day")),POS_Time,"&lt;="&amp;($D180-CONVERT(Variables!$C$12+1,"sec","day")),POS_Q,"=1")))</f>
        <v/>
      </c>
      <c r="V180" s="26" t="str">
        <f>IF($B180="","",IF(2&gt;Variables!$C$11,0,COUNTIFS(POS_Time,"&gt;="&amp;($C180+CONVERT(Variables!$C$12,"sec","day")),POS_Time,"&lt;="&amp;($D180-CONVERT(Variables!$C$12+1,"sec","day")),POS_Q,"=2")))</f>
        <v/>
      </c>
      <c r="W180" s="26" t="str">
        <f>IF($B180="","",IF(3&gt;Variables!$C$11,0,COUNTIFS(POS_Time,"&gt;="&amp;($C180+CONVERT(Variables!$C$12,"sec","day")),POS_Time,"&lt;="&amp;($D180-CONVERT(Variables!$C$12+1,"sec","day")),POS_Q,"=3")))</f>
        <v/>
      </c>
      <c r="X180" s="26" t="str">
        <f>IF($B180="","",IF(4&gt;Variables!$C$11,0,COUNTIFS(POS_Time,"&gt;="&amp;($C180+CONVERT(Variables!$C$12,"sec","day")),POS_Time,"&lt;="&amp;($D180-CONVERT(Variables!$C$12+1,"sec","day")),POS_Q,"=4")))</f>
        <v/>
      </c>
      <c r="Y180" s="26" t="str">
        <f>IF($B180="","",IF(5&gt;Variables!$C$11,0,COUNTIFS(POS_Time,"&gt;="&amp;($C180+CONVERT(Variables!$C$12,"sec","day")),POS_Time,"&lt;="&amp;($D180-CONVERT(Variables!$C$12+1,"sec","day")),POS_Q,"=5")))</f>
        <v/>
      </c>
      <c r="Z180" s="26" t="str">
        <f>IF($B180="","",IF(6&gt;Variables!$C$11,0,COUNTIFS(POS_Time,"&gt;="&amp;($C180+CONVERT(Variables!$C$12,"sec","day")),POS_Time,"&lt;="&amp;($D180-CONVERT(Variables!$C$12+1,"sec","day")),POS_Q,"=6")))</f>
        <v/>
      </c>
    </row>
    <row r="181" spans="1:26" x14ac:dyDescent="0.25">
      <c r="A181" s="2">
        <v>180</v>
      </c>
      <c r="B181" s="27" t="str">
        <f>IF((ROW()-1)&lt;=RoverStations,'Rover CSV Data'!B181,"")</f>
        <v/>
      </c>
      <c r="C181" s="28" t="str">
        <f>IF($B181="","",DATEVALUE(LEFT('Rover CSV Data'!F181,FIND(" ",'Rover CSV Data'!F181)-1))+TIMEVALUE(MID('Rover CSV Data'!F181,LEN('Rover CSV Data'!F181)-FIND(" ",'Rover CSV Data'!F181),(FIND(" UTC",'Rover CSV Data'!F181))-(LEN('Rover CSV Data'!F181)-FIND(" ",'Rover CSV Data'!F181)))))</f>
        <v/>
      </c>
      <c r="D181" s="28" t="str">
        <f>IF($B181="","",DATEVALUE(LEFT('Rover CSV Data'!G181,FIND(" ",'Rover CSV Data'!G181)-1))+TIMEVALUE(MID('Rover CSV Data'!G181,LEN('Rover CSV Data'!G181)-FIND(" ",'Rover CSV Data'!G181),(FIND(" UTC",'Rover CSV Data'!G181))-(LEN('Rover CSV Data'!G181)-FIND(" ",'Rover CSV Data'!G181)))))</f>
        <v/>
      </c>
      <c r="E181" s="29" t="str">
        <f t="shared" si="3"/>
        <v/>
      </c>
      <c r="F181" s="26" t="str">
        <f>IF($B181="","",'Rover CSV Data'!J181)</f>
        <v/>
      </c>
      <c r="G181" s="26" t="str">
        <f>IF($B181="","",AVERAGEIFS(POS_Lat,POS_Time,"&gt;="&amp;($C181+CONVERT(Variables!$C$12,"sec","day")),POS_Time,"&lt;="&amp;($D181-CONVERT(Variables!$C$12+1,"sec","day")),POS_Q,"&lt;="&amp;Variables!$C$11))</f>
        <v/>
      </c>
      <c r="H181" s="26" t="str">
        <f>IF($B181="","",AVERAGEIFS(POS_Long,POS_Time,"&gt;="&amp;($C181+CONVERT(Variables!$C$12,"sec","day")),POS_Time,"&lt;="&amp;($D181-CONVERT(Variables!$C$12+1,"sec","day")),POS_Q,"&lt;="&amp;Variables!$C$11))</f>
        <v/>
      </c>
      <c r="I181" s="30" t="str">
        <f>IF($B181="","",AVERAGEIFS(POS_elev,POS_Time,"&gt;="&amp;($C181+CONVERT(Variables!$C$12,"sec","day")),POS_Time,"&lt;="&amp;($D181-CONVERT(Variables!$C$12+1,"sec","day")),POS_Q,"&lt;="&amp;Variables!$C$11)-S181)</f>
        <v/>
      </c>
      <c r="J181" s="26" t="str">
        <f>IF($B181="","",'Rover CSV Data'!D181)</f>
        <v/>
      </c>
      <c r="K181" s="26" t="str">
        <f>IF($B181="","",'Rover CSV Data'!C181)</f>
        <v/>
      </c>
      <c r="L181" s="26" t="str">
        <f>IF($B181="","",'Rover CSV Data'!E181)</f>
        <v/>
      </c>
      <c r="M181" s="30" t="str">
        <f>IF($B181="","",AVERAGEIFS(sdn,POS_Time,"&gt;="&amp;($C181+CONVERT(Variables!$C$12,"sec","day")),POS_Time,"&lt;="&amp;($D181-CONVERT(Variables!$C$12+1,"sec","day")),POS_Q,"&lt;="&amp;Variables!$C$11))</f>
        <v/>
      </c>
      <c r="N181" s="31" t="str">
        <f>IF($B181="","",AVERAGEIFS(sde,POS_Time,"&gt;="&amp;($C181+CONVERT(Variables!$C$12,"sec","day")),POS_Time,"&lt;="&amp;($D181-CONVERT(Variables!$C$12+1,"sec","day")),POS_Q,"&lt;="&amp;Variables!$C$11))</f>
        <v/>
      </c>
      <c r="O181" s="31" t="str">
        <f>IF($B181="","",AVERAGEIFS(sdu,POS_Time,"&gt;="&amp;($C181+CONVERT(Variables!$C$12,"sec","day")),POS_Time,"&lt;="&amp;($D181-CONVERT(Variables!$C$12+1,"sec","day")),POS_Q,"&lt;="&amp;Variables!$C$11))</f>
        <v/>
      </c>
      <c r="P181" s="32" t="str">
        <f t="array" ref="P181">IF($B181="","",STDEV(IF(POS_Time&gt;=($C181+CONVERT(Variables!$C$12,"sec","day")),IF(POS_Time&lt;=($D181-CONVERT(Variables!$C$12+1,"sec","day")),IF(POS_Q&lt;=Variables!$C$11,POS_Lat)))))</f>
        <v/>
      </c>
      <c r="Q181" s="32" t="str">
        <f t="array" ref="Q181">IF($B181="","",STDEV(IF(POS_Time&gt;=($C181+CONVERT(Variables!$C$12,"sec","day")),IF(POS_Time&lt;=($D181-CONVERT(Variables!$C$12+1,"sec","day")),IF(POS_Q&lt;=Variables!$C$11,POS_Long)))))</f>
        <v/>
      </c>
      <c r="R181" s="32" t="str">
        <f t="array" ref="R181">IF($B181="","",STDEV(IF(POS_Time&gt;=($C181+CONVERT(Variables!$C$12,"sec","day")),IF(POS_Time&lt;=($D181-CONVERT(Variables!$C$12+1,"sec","day")),IF(POS_Q&lt;=Variables!$C$11,POS_elev)))))</f>
        <v/>
      </c>
      <c r="S181" s="30" t="str">
        <f>IF($B181="","",'Rover CSV Data'!K181)</f>
        <v/>
      </c>
      <c r="T181" s="26" t="str">
        <f>IF($B181="","",COUNTIFS(POS_Time,"&gt;="&amp;($C181+CONVERT(Variables!$C$12,"sec","day")),POS_Time,"&lt;="&amp;($D181-CONVERT(Variables!$C$12+1,"sec","day")),POS_Q,"&lt;="&amp;Variables!$C$11))</f>
        <v/>
      </c>
      <c r="U181" s="26" t="str">
        <f>IF($B181="","",IF(1&gt;Variables!$C$11,0,COUNTIFS(POS_Time,"&gt;="&amp;($C181+CONVERT(Variables!$C$12,"sec","day")),POS_Time,"&lt;="&amp;($D181-CONVERT(Variables!$C$12+1,"sec","day")),POS_Q,"=1")))</f>
        <v/>
      </c>
      <c r="V181" s="26" t="str">
        <f>IF($B181="","",IF(2&gt;Variables!$C$11,0,COUNTIFS(POS_Time,"&gt;="&amp;($C181+CONVERT(Variables!$C$12,"sec","day")),POS_Time,"&lt;="&amp;($D181-CONVERT(Variables!$C$12+1,"sec","day")),POS_Q,"=2")))</f>
        <v/>
      </c>
      <c r="W181" s="26" t="str">
        <f>IF($B181="","",IF(3&gt;Variables!$C$11,0,COUNTIFS(POS_Time,"&gt;="&amp;($C181+CONVERT(Variables!$C$12,"sec","day")),POS_Time,"&lt;="&amp;($D181-CONVERT(Variables!$C$12+1,"sec","day")),POS_Q,"=3")))</f>
        <v/>
      </c>
      <c r="X181" s="26" t="str">
        <f>IF($B181="","",IF(4&gt;Variables!$C$11,0,COUNTIFS(POS_Time,"&gt;="&amp;($C181+CONVERT(Variables!$C$12,"sec","day")),POS_Time,"&lt;="&amp;($D181-CONVERT(Variables!$C$12+1,"sec","day")),POS_Q,"=4")))</f>
        <v/>
      </c>
      <c r="Y181" s="26" t="str">
        <f>IF($B181="","",IF(5&gt;Variables!$C$11,0,COUNTIFS(POS_Time,"&gt;="&amp;($C181+CONVERT(Variables!$C$12,"sec","day")),POS_Time,"&lt;="&amp;($D181-CONVERT(Variables!$C$12+1,"sec","day")),POS_Q,"=5")))</f>
        <v/>
      </c>
      <c r="Z181" s="26" t="str">
        <f>IF($B181="","",IF(6&gt;Variables!$C$11,0,COUNTIFS(POS_Time,"&gt;="&amp;($C181+CONVERT(Variables!$C$12,"sec","day")),POS_Time,"&lt;="&amp;($D181-CONVERT(Variables!$C$12+1,"sec","day")),POS_Q,"=6")))</f>
        <v/>
      </c>
    </row>
    <row r="182" spans="1:26" x14ac:dyDescent="0.25">
      <c r="A182" s="2">
        <v>181</v>
      </c>
      <c r="B182" s="27" t="str">
        <f>IF((ROW()-1)&lt;=RoverStations,'Rover CSV Data'!B182,"")</f>
        <v/>
      </c>
      <c r="C182" s="28" t="str">
        <f>IF($B182="","",DATEVALUE(LEFT('Rover CSV Data'!F182,FIND(" ",'Rover CSV Data'!F182)-1))+TIMEVALUE(MID('Rover CSV Data'!F182,LEN('Rover CSV Data'!F182)-FIND(" ",'Rover CSV Data'!F182),(FIND(" UTC",'Rover CSV Data'!F182))-(LEN('Rover CSV Data'!F182)-FIND(" ",'Rover CSV Data'!F182)))))</f>
        <v/>
      </c>
      <c r="D182" s="28" t="str">
        <f>IF($B182="","",DATEVALUE(LEFT('Rover CSV Data'!G182,FIND(" ",'Rover CSV Data'!G182)-1))+TIMEVALUE(MID('Rover CSV Data'!G182,LEN('Rover CSV Data'!G182)-FIND(" ",'Rover CSV Data'!G182),(FIND(" UTC",'Rover CSV Data'!G182))-(LEN('Rover CSV Data'!G182)-FIND(" ",'Rover CSV Data'!G182)))))</f>
        <v/>
      </c>
      <c r="E182" s="29" t="str">
        <f t="shared" si="3"/>
        <v/>
      </c>
      <c r="F182" s="26" t="str">
        <f>IF($B182="","",'Rover CSV Data'!J182)</f>
        <v/>
      </c>
      <c r="G182" s="26" t="str">
        <f>IF($B182="","",AVERAGEIFS(POS_Lat,POS_Time,"&gt;="&amp;($C182+CONVERT(Variables!$C$12,"sec","day")),POS_Time,"&lt;="&amp;($D182-CONVERT(Variables!$C$12+1,"sec","day")),POS_Q,"&lt;="&amp;Variables!$C$11))</f>
        <v/>
      </c>
      <c r="H182" s="26" t="str">
        <f>IF($B182="","",AVERAGEIFS(POS_Long,POS_Time,"&gt;="&amp;($C182+CONVERT(Variables!$C$12,"sec","day")),POS_Time,"&lt;="&amp;($D182-CONVERT(Variables!$C$12+1,"sec","day")),POS_Q,"&lt;="&amp;Variables!$C$11))</f>
        <v/>
      </c>
      <c r="I182" s="30" t="str">
        <f>IF($B182="","",AVERAGEIFS(POS_elev,POS_Time,"&gt;="&amp;($C182+CONVERT(Variables!$C$12,"sec","day")),POS_Time,"&lt;="&amp;($D182-CONVERT(Variables!$C$12+1,"sec","day")),POS_Q,"&lt;="&amp;Variables!$C$11)-S182)</f>
        <v/>
      </c>
      <c r="J182" s="26" t="str">
        <f>IF($B182="","",'Rover CSV Data'!D182)</f>
        <v/>
      </c>
      <c r="K182" s="26" t="str">
        <f>IF($B182="","",'Rover CSV Data'!C182)</f>
        <v/>
      </c>
      <c r="L182" s="26" t="str">
        <f>IF($B182="","",'Rover CSV Data'!E182)</f>
        <v/>
      </c>
      <c r="M182" s="30" t="str">
        <f>IF($B182="","",AVERAGEIFS(sdn,POS_Time,"&gt;="&amp;($C182+CONVERT(Variables!$C$12,"sec","day")),POS_Time,"&lt;="&amp;($D182-CONVERT(Variables!$C$12+1,"sec","day")),POS_Q,"&lt;="&amp;Variables!$C$11))</f>
        <v/>
      </c>
      <c r="N182" s="31" t="str">
        <f>IF($B182="","",AVERAGEIFS(sde,POS_Time,"&gt;="&amp;($C182+CONVERT(Variables!$C$12,"sec","day")),POS_Time,"&lt;="&amp;($D182-CONVERT(Variables!$C$12+1,"sec","day")),POS_Q,"&lt;="&amp;Variables!$C$11))</f>
        <v/>
      </c>
      <c r="O182" s="31" t="str">
        <f>IF($B182="","",AVERAGEIFS(sdu,POS_Time,"&gt;="&amp;($C182+CONVERT(Variables!$C$12,"sec","day")),POS_Time,"&lt;="&amp;($D182-CONVERT(Variables!$C$12+1,"sec","day")),POS_Q,"&lt;="&amp;Variables!$C$11))</f>
        <v/>
      </c>
      <c r="P182" s="32" t="str">
        <f t="array" ref="P182">IF($B182="","",STDEV(IF(POS_Time&gt;=($C182+CONVERT(Variables!$C$12,"sec","day")),IF(POS_Time&lt;=($D182-CONVERT(Variables!$C$12+1,"sec","day")),IF(POS_Q&lt;=Variables!$C$11,POS_Lat)))))</f>
        <v/>
      </c>
      <c r="Q182" s="32" t="str">
        <f t="array" ref="Q182">IF($B182="","",STDEV(IF(POS_Time&gt;=($C182+CONVERT(Variables!$C$12,"sec","day")),IF(POS_Time&lt;=($D182-CONVERT(Variables!$C$12+1,"sec","day")),IF(POS_Q&lt;=Variables!$C$11,POS_Long)))))</f>
        <v/>
      </c>
      <c r="R182" s="32" t="str">
        <f t="array" ref="R182">IF($B182="","",STDEV(IF(POS_Time&gt;=($C182+CONVERT(Variables!$C$12,"sec","day")),IF(POS_Time&lt;=($D182-CONVERT(Variables!$C$12+1,"sec","day")),IF(POS_Q&lt;=Variables!$C$11,POS_elev)))))</f>
        <v/>
      </c>
      <c r="S182" s="30" t="str">
        <f>IF($B182="","",'Rover CSV Data'!K182)</f>
        <v/>
      </c>
      <c r="T182" s="26" t="str">
        <f>IF($B182="","",COUNTIFS(POS_Time,"&gt;="&amp;($C182+CONVERT(Variables!$C$12,"sec","day")),POS_Time,"&lt;="&amp;($D182-CONVERT(Variables!$C$12+1,"sec","day")),POS_Q,"&lt;="&amp;Variables!$C$11))</f>
        <v/>
      </c>
      <c r="U182" s="26" t="str">
        <f>IF($B182="","",IF(1&gt;Variables!$C$11,0,COUNTIFS(POS_Time,"&gt;="&amp;($C182+CONVERT(Variables!$C$12,"sec","day")),POS_Time,"&lt;="&amp;($D182-CONVERT(Variables!$C$12+1,"sec","day")),POS_Q,"=1")))</f>
        <v/>
      </c>
      <c r="V182" s="26" t="str">
        <f>IF($B182="","",IF(2&gt;Variables!$C$11,0,COUNTIFS(POS_Time,"&gt;="&amp;($C182+CONVERT(Variables!$C$12,"sec","day")),POS_Time,"&lt;="&amp;($D182-CONVERT(Variables!$C$12+1,"sec","day")),POS_Q,"=2")))</f>
        <v/>
      </c>
      <c r="W182" s="26" t="str">
        <f>IF($B182="","",IF(3&gt;Variables!$C$11,0,COUNTIFS(POS_Time,"&gt;="&amp;($C182+CONVERT(Variables!$C$12,"sec","day")),POS_Time,"&lt;="&amp;($D182-CONVERT(Variables!$C$12+1,"sec","day")),POS_Q,"=3")))</f>
        <v/>
      </c>
      <c r="X182" s="26" t="str">
        <f>IF($B182="","",IF(4&gt;Variables!$C$11,0,COUNTIFS(POS_Time,"&gt;="&amp;($C182+CONVERT(Variables!$C$12,"sec","day")),POS_Time,"&lt;="&amp;($D182-CONVERT(Variables!$C$12+1,"sec","day")),POS_Q,"=4")))</f>
        <v/>
      </c>
      <c r="Y182" s="26" t="str">
        <f>IF($B182="","",IF(5&gt;Variables!$C$11,0,COUNTIFS(POS_Time,"&gt;="&amp;($C182+CONVERT(Variables!$C$12,"sec","day")),POS_Time,"&lt;="&amp;($D182-CONVERT(Variables!$C$12+1,"sec","day")),POS_Q,"=5")))</f>
        <v/>
      </c>
      <c r="Z182" s="26" t="str">
        <f>IF($B182="","",IF(6&gt;Variables!$C$11,0,COUNTIFS(POS_Time,"&gt;="&amp;($C182+CONVERT(Variables!$C$12,"sec","day")),POS_Time,"&lt;="&amp;($D182-CONVERT(Variables!$C$12+1,"sec","day")),POS_Q,"=6")))</f>
        <v/>
      </c>
    </row>
    <row r="183" spans="1:26" x14ac:dyDescent="0.25">
      <c r="A183" s="2">
        <v>182</v>
      </c>
      <c r="B183" s="27" t="str">
        <f>IF((ROW()-1)&lt;=RoverStations,'Rover CSV Data'!B183,"")</f>
        <v/>
      </c>
      <c r="C183" s="28" t="str">
        <f>IF($B183="","",DATEVALUE(LEFT('Rover CSV Data'!F183,FIND(" ",'Rover CSV Data'!F183)-1))+TIMEVALUE(MID('Rover CSV Data'!F183,LEN('Rover CSV Data'!F183)-FIND(" ",'Rover CSV Data'!F183),(FIND(" UTC",'Rover CSV Data'!F183))-(LEN('Rover CSV Data'!F183)-FIND(" ",'Rover CSV Data'!F183)))))</f>
        <v/>
      </c>
      <c r="D183" s="28" t="str">
        <f>IF($B183="","",DATEVALUE(LEFT('Rover CSV Data'!G183,FIND(" ",'Rover CSV Data'!G183)-1))+TIMEVALUE(MID('Rover CSV Data'!G183,LEN('Rover CSV Data'!G183)-FIND(" ",'Rover CSV Data'!G183),(FIND(" UTC",'Rover CSV Data'!G183))-(LEN('Rover CSV Data'!G183)-FIND(" ",'Rover CSV Data'!G183)))))</f>
        <v/>
      </c>
      <c r="E183" s="29" t="str">
        <f t="shared" si="3"/>
        <v/>
      </c>
      <c r="F183" s="26" t="str">
        <f>IF($B183="","",'Rover CSV Data'!J183)</f>
        <v/>
      </c>
      <c r="G183" s="26" t="str">
        <f>IF($B183="","",AVERAGEIFS(POS_Lat,POS_Time,"&gt;="&amp;($C183+CONVERT(Variables!$C$12,"sec","day")),POS_Time,"&lt;="&amp;($D183-CONVERT(Variables!$C$12+1,"sec","day")),POS_Q,"&lt;="&amp;Variables!$C$11))</f>
        <v/>
      </c>
      <c r="H183" s="26" t="str">
        <f>IF($B183="","",AVERAGEIFS(POS_Long,POS_Time,"&gt;="&amp;($C183+CONVERT(Variables!$C$12,"sec","day")),POS_Time,"&lt;="&amp;($D183-CONVERT(Variables!$C$12+1,"sec","day")),POS_Q,"&lt;="&amp;Variables!$C$11))</f>
        <v/>
      </c>
      <c r="I183" s="30" t="str">
        <f>IF($B183="","",AVERAGEIFS(POS_elev,POS_Time,"&gt;="&amp;($C183+CONVERT(Variables!$C$12,"sec","day")),POS_Time,"&lt;="&amp;($D183-CONVERT(Variables!$C$12+1,"sec","day")),POS_Q,"&lt;="&amp;Variables!$C$11)-S183)</f>
        <v/>
      </c>
      <c r="J183" s="26" t="str">
        <f>IF($B183="","",'Rover CSV Data'!D183)</f>
        <v/>
      </c>
      <c r="K183" s="26" t="str">
        <f>IF($B183="","",'Rover CSV Data'!C183)</f>
        <v/>
      </c>
      <c r="L183" s="26" t="str">
        <f>IF($B183="","",'Rover CSV Data'!E183)</f>
        <v/>
      </c>
      <c r="M183" s="30" t="str">
        <f>IF($B183="","",AVERAGEIFS(sdn,POS_Time,"&gt;="&amp;($C183+CONVERT(Variables!$C$12,"sec","day")),POS_Time,"&lt;="&amp;($D183-CONVERT(Variables!$C$12+1,"sec","day")),POS_Q,"&lt;="&amp;Variables!$C$11))</f>
        <v/>
      </c>
      <c r="N183" s="31" t="str">
        <f>IF($B183="","",AVERAGEIFS(sde,POS_Time,"&gt;="&amp;($C183+CONVERT(Variables!$C$12,"sec","day")),POS_Time,"&lt;="&amp;($D183-CONVERT(Variables!$C$12+1,"sec","day")),POS_Q,"&lt;="&amp;Variables!$C$11))</f>
        <v/>
      </c>
      <c r="O183" s="31" t="str">
        <f>IF($B183="","",AVERAGEIFS(sdu,POS_Time,"&gt;="&amp;($C183+CONVERT(Variables!$C$12,"sec","day")),POS_Time,"&lt;="&amp;($D183-CONVERT(Variables!$C$12+1,"sec","day")),POS_Q,"&lt;="&amp;Variables!$C$11))</f>
        <v/>
      </c>
      <c r="P183" s="32" t="str">
        <f t="array" ref="P183">IF($B183="","",STDEV(IF(POS_Time&gt;=($C183+CONVERT(Variables!$C$12,"sec","day")),IF(POS_Time&lt;=($D183-CONVERT(Variables!$C$12+1,"sec","day")),IF(POS_Q&lt;=Variables!$C$11,POS_Lat)))))</f>
        <v/>
      </c>
      <c r="Q183" s="32" t="str">
        <f t="array" ref="Q183">IF($B183="","",STDEV(IF(POS_Time&gt;=($C183+CONVERT(Variables!$C$12,"sec","day")),IF(POS_Time&lt;=($D183-CONVERT(Variables!$C$12+1,"sec","day")),IF(POS_Q&lt;=Variables!$C$11,POS_Long)))))</f>
        <v/>
      </c>
      <c r="R183" s="32" t="str">
        <f t="array" ref="R183">IF($B183="","",STDEV(IF(POS_Time&gt;=($C183+CONVERT(Variables!$C$12,"sec","day")),IF(POS_Time&lt;=($D183-CONVERT(Variables!$C$12+1,"sec","day")),IF(POS_Q&lt;=Variables!$C$11,POS_elev)))))</f>
        <v/>
      </c>
      <c r="S183" s="30" t="str">
        <f>IF($B183="","",'Rover CSV Data'!K183)</f>
        <v/>
      </c>
      <c r="T183" s="26" t="str">
        <f>IF($B183="","",COUNTIFS(POS_Time,"&gt;="&amp;($C183+CONVERT(Variables!$C$12,"sec","day")),POS_Time,"&lt;="&amp;($D183-CONVERT(Variables!$C$12+1,"sec","day")),POS_Q,"&lt;="&amp;Variables!$C$11))</f>
        <v/>
      </c>
      <c r="U183" s="26" t="str">
        <f>IF($B183="","",IF(1&gt;Variables!$C$11,0,COUNTIFS(POS_Time,"&gt;="&amp;($C183+CONVERT(Variables!$C$12,"sec","day")),POS_Time,"&lt;="&amp;($D183-CONVERT(Variables!$C$12+1,"sec","day")),POS_Q,"=1")))</f>
        <v/>
      </c>
      <c r="V183" s="26" t="str">
        <f>IF($B183="","",IF(2&gt;Variables!$C$11,0,COUNTIFS(POS_Time,"&gt;="&amp;($C183+CONVERT(Variables!$C$12,"sec","day")),POS_Time,"&lt;="&amp;($D183-CONVERT(Variables!$C$12+1,"sec","day")),POS_Q,"=2")))</f>
        <v/>
      </c>
      <c r="W183" s="26" t="str">
        <f>IF($B183="","",IF(3&gt;Variables!$C$11,0,COUNTIFS(POS_Time,"&gt;="&amp;($C183+CONVERT(Variables!$C$12,"sec","day")),POS_Time,"&lt;="&amp;($D183-CONVERT(Variables!$C$12+1,"sec","day")),POS_Q,"=3")))</f>
        <v/>
      </c>
      <c r="X183" s="26" t="str">
        <f>IF($B183="","",IF(4&gt;Variables!$C$11,0,COUNTIFS(POS_Time,"&gt;="&amp;($C183+CONVERT(Variables!$C$12,"sec","day")),POS_Time,"&lt;="&amp;($D183-CONVERT(Variables!$C$12+1,"sec","day")),POS_Q,"=4")))</f>
        <v/>
      </c>
      <c r="Y183" s="26" t="str">
        <f>IF($B183="","",IF(5&gt;Variables!$C$11,0,COUNTIFS(POS_Time,"&gt;="&amp;($C183+CONVERT(Variables!$C$12,"sec","day")),POS_Time,"&lt;="&amp;($D183-CONVERT(Variables!$C$12+1,"sec","day")),POS_Q,"=5")))</f>
        <v/>
      </c>
      <c r="Z183" s="26" t="str">
        <f>IF($B183="","",IF(6&gt;Variables!$C$11,0,COUNTIFS(POS_Time,"&gt;="&amp;($C183+CONVERT(Variables!$C$12,"sec","day")),POS_Time,"&lt;="&amp;($D183-CONVERT(Variables!$C$12+1,"sec","day")),POS_Q,"=6")))</f>
        <v/>
      </c>
    </row>
    <row r="184" spans="1:26" x14ac:dyDescent="0.25">
      <c r="A184" s="2">
        <v>183</v>
      </c>
      <c r="B184" s="27" t="str">
        <f>IF((ROW()-1)&lt;=RoverStations,'Rover CSV Data'!B184,"")</f>
        <v/>
      </c>
      <c r="C184" s="28" t="str">
        <f>IF($B184="","",DATEVALUE(LEFT('Rover CSV Data'!F184,FIND(" ",'Rover CSV Data'!F184)-1))+TIMEVALUE(MID('Rover CSV Data'!F184,LEN('Rover CSV Data'!F184)-FIND(" ",'Rover CSV Data'!F184),(FIND(" UTC",'Rover CSV Data'!F184))-(LEN('Rover CSV Data'!F184)-FIND(" ",'Rover CSV Data'!F184)))))</f>
        <v/>
      </c>
      <c r="D184" s="28" t="str">
        <f>IF($B184="","",DATEVALUE(LEFT('Rover CSV Data'!G184,FIND(" ",'Rover CSV Data'!G184)-1))+TIMEVALUE(MID('Rover CSV Data'!G184,LEN('Rover CSV Data'!G184)-FIND(" ",'Rover CSV Data'!G184),(FIND(" UTC",'Rover CSV Data'!G184))-(LEN('Rover CSV Data'!G184)-FIND(" ",'Rover CSV Data'!G184)))))</f>
        <v/>
      </c>
      <c r="E184" s="29" t="str">
        <f t="shared" si="3"/>
        <v/>
      </c>
      <c r="F184" s="26" t="str">
        <f>IF($B184="","",'Rover CSV Data'!J184)</f>
        <v/>
      </c>
      <c r="G184" s="26" t="str">
        <f>IF($B184="","",AVERAGEIFS(POS_Lat,POS_Time,"&gt;="&amp;($C184+CONVERT(Variables!$C$12,"sec","day")),POS_Time,"&lt;="&amp;($D184-CONVERT(Variables!$C$12+1,"sec","day")),POS_Q,"&lt;="&amp;Variables!$C$11))</f>
        <v/>
      </c>
      <c r="H184" s="26" t="str">
        <f>IF($B184="","",AVERAGEIFS(POS_Long,POS_Time,"&gt;="&amp;($C184+CONVERT(Variables!$C$12,"sec","day")),POS_Time,"&lt;="&amp;($D184-CONVERT(Variables!$C$12+1,"sec","day")),POS_Q,"&lt;="&amp;Variables!$C$11))</f>
        <v/>
      </c>
      <c r="I184" s="30" t="str">
        <f>IF($B184="","",AVERAGEIFS(POS_elev,POS_Time,"&gt;="&amp;($C184+CONVERT(Variables!$C$12,"sec","day")),POS_Time,"&lt;="&amp;($D184-CONVERT(Variables!$C$12+1,"sec","day")),POS_Q,"&lt;="&amp;Variables!$C$11)-S184)</f>
        <v/>
      </c>
      <c r="J184" s="26" t="str">
        <f>IF($B184="","",'Rover CSV Data'!D184)</f>
        <v/>
      </c>
      <c r="K184" s="26" t="str">
        <f>IF($B184="","",'Rover CSV Data'!C184)</f>
        <v/>
      </c>
      <c r="L184" s="26" t="str">
        <f>IF($B184="","",'Rover CSV Data'!E184)</f>
        <v/>
      </c>
      <c r="M184" s="30" t="str">
        <f>IF($B184="","",AVERAGEIFS(sdn,POS_Time,"&gt;="&amp;($C184+CONVERT(Variables!$C$12,"sec","day")),POS_Time,"&lt;="&amp;($D184-CONVERT(Variables!$C$12+1,"sec","day")),POS_Q,"&lt;="&amp;Variables!$C$11))</f>
        <v/>
      </c>
      <c r="N184" s="31" t="str">
        <f>IF($B184="","",AVERAGEIFS(sde,POS_Time,"&gt;="&amp;($C184+CONVERT(Variables!$C$12,"sec","day")),POS_Time,"&lt;="&amp;($D184-CONVERT(Variables!$C$12+1,"sec","day")),POS_Q,"&lt;="&amp;Variables!$C$11))</f>
        <v/>
      </c>
      <c r="O184" s="31" t="str">
        <f>IF($B184="","",AVERAGEIFS(sdu,POS_Time,"&gt;="&amp;($C184+CONVERT(Variables!$C$12,"sec","day")),POS_Time,"&lt;="&amp;($D184-CONVERT(Variables!$C$12+1,"sec","day")),POS_Q,"&lt;="&amp;Variables!$C$11))</f>
        <v/>
      </c>
      <c r="P184" s="32" t="str">
        <f t="array" ref="P184">IF($B184="","",STDEV(IF(POS_Time&gt;=($C184+CONVERT(Variables!$C$12,"sec","day")),IF(POS_Time&lt;=($D184-CONVERT(Variables!$C$12+1,"sec","day")),IF(POS_Q&lt;=Variables!$C$11,POS_Lat)))))</f>
        <v/>
      </c>
      <c r="Q184" s="32" t="str">
        <f t="array" ref="Q184">IF($B184="","",STDEV(IF(POS_Time&gt;=($C184+CONVERT(Variables!$C$12,"sec","day")),IF(POS_Time&lt;=($D184-CONVERT(Variables!$C$12+1,"sec","day")),IF(POS_Q&lt;=Variables!$C$11,POS_Long)))))</f>
        <v/>
      </c>
      <c r="R184" s="32" t="str">
        <f t="array" ref="R184">IF($B184="","",STDEV(IF(POS_Time&gt;=($C184+CONVERT(Variables!$C$12,"sec","day")),IF(POS_Time&lt;=($D184-CONVERT(Variables!$C$12+1,"sec","day")),IF(POS_Q&lt;=Variables!$C$11,POS_elev)))))</f>
        <v/>
      </c>
      <c r="S184" s="30" t="str">
        <f>IF($B184="","",'Rover CSV Data'!K184)</f>
        <v/>
      </c>
      <c r="T184" s="26" t="str">
        <f>IF($B184="","",COUNTIFS(POS_Time,"&gt;="&amp;($C184+CONVERT(Variables!$C$12,"sec","day")),POS_Time,"&lt;="&amp;($D184-CONVERT(Variables!$C$12+1,"sec","day")),POS_Q,"&lt;="&amp;Variables!$C$11))</f>
        <v/>
      </c>
      <c r="U184" s="26" t="str">
        <f>IF($B184="","",IF(1&gt;Variables!$C$11,0,COUNTIFS(POS_Time,"&gt;="&amp;($C184+CONVERT(Variables!$C$12,"sec","day")),POS_Time,"&lt;="&amp;($D184-CONVERT(Variables!$C$12+1,"sec","day")),POS_Q,"=1")))</f>
        <v/>
      </c>
      <c r="V184" s="26" t="str">
        <f>IF($B184="","",IF(2&gt;Variables!$C$11,0,COUNTIFS(POS_Time,"&gt;="&amp;($C184+CONVERT(Variables!$C$12,"sec","day")),POS_Time,"&lt;="&amp;($D184-CONVERT(Variables!$C$12+1,"sec","day")),POS_Q,"=2")))</f>
        <v/>
      </c>
      <c r="W184" s="26" t="str">
        <f>IF($B184="","",IF(3&gt;Variables!$C$11,0,COUNTIFS(POS_Time,"&gt;="&amp;($C184+CONVERT(Variables!$C$12,"sec","day")),POS_Time,"&lt;="&amp;($D184-CONVERT(Variables!$C$12+1,"sec","day")),POS_Q,"=3")))</f>
        <v/>
      </c>
      <c r="X184" s="26" t="str">
        <f>IF($B184="","",IF(4&gt;Variables!$C$11,0,COUNTIFS(POS_Time,"&gt;="&amp;($C184+CONVERT(Variables!$C$12,"sec","day")),POS_Time,"&lt;="&amp;($D184-CONVERT(Variables!$C$12+1,"sec","day")),POS_Q,"=4")))</f>
        <v/>
      </c>
      <c r="Y184" s="26" t="str">
        <f>IF($B184="","",IF(5&gt;Variables!$C$11,0,COUNTIFS(POS_Time,"&gt;="&amp;($C184+CONVERT(Variables!$C$12,"sec","day")),POS_Time,"&lt;="&amp;($D184-CONVERT(Variables!$C$12+1,"sec","day")),POS_Q,"=5")))</f>
        <v/>
      </c>
      <c r="Z184" s="26" t="str">
        <f>IF($B184="","",IF(6&gt;Variables!$C$11,0,COUNTIFS(POS_Time,"&gt;="&amp;($C184+CONVERT(Variables!$C$12,"sec","day")),POS_Time,"&lt;="&amp;($D184-CONVERT(Variables!$C$12+1,"sec","day")),POS_Q,"=6")))</f>
        <v/>
      </c>
    </row>
    <row r="185" spans="1:26" x14ac:dyDescent="0.25">
      <c r="A185" s="2">
        <v>184</v>
      </c>
      <c r="B185" s="27" t="str">
        <f>IF((ROW()-1)&lt;=RoverStations,'Rover CSV Data'!B185,"")</f>
        <v/>
      </c>
      <c r="C185" s="28" t="str">
        <f>IF($B185="","",DATEVALUE(LEFT('Rover CSV Data'!F185,FIND(" ",'Rover CSV Data'!F185)-1))+TIMEVALUE(MID('Rover CSV Data'!F185,LEN('Rover CSV Data'!F185)-FIND(" ",'Rover CSV Data'!F185),(FIND(" UTC",'Rover CSV Data'!F185))-(LEN('Rover CSV Data'!F185)-FIND(" ",'Rover CSV Data'!F185)))))</f>
        <v/>
      </c>
      <c r="D185" s="28" t="str">
        <f>IF($B185="","",DATEVALUE(LEFT('Rover CSV Data'!G185,FIND(" ",'Rover CSV Data'!G185)-1))+TIMEVALUE(MID('Rover CSV Data'!G185,LEN('Rover CSV Data'!G185)-FIND(" ",'Rover CSV Data'!G185),(FIND(" UTC",'Rover CSV Data'!G185))-(LEN('Rover CSV Data'!G185)-FIND(" ",'Rover CSV Data'!G185)))))</f>
        <v/>
      </c>
      <c r="E185" s="29" t="str">
        <f t="shared" si="3"/>
        <v/>
      </c>
      <c r="F185" s="26" t="str">
        <f>IF($B185="","",'Rover CSV Data'!J185)</f>
        <v/>
      </c>
      <c r="G185" s="26" t="str">
        <f>IF($B185="","",AVERAGEIFS(POS_Lat,POS_Time,"&gt;="&amp;($C185+CONVERT(Variables!$C$12,"sec","day")),POS_Time,"&lt;="&amp;($D185-CONVERT(Variables!$C$12+1,"sec","day")),POS_Q,"&lt;="&amp;Variables!$C$11))</f>
        <v/>
      </c>
      <c r="H185" s="26" t="str">
        <f>IF($B185="","",AVERAGEIFS(POS_Long,POS_Time,"&gt;="&amp;($C185+CONVERT(Variables!$C$12,"sec","day")),POS_Time,"&lt;="&amp;($D185-CONVERT(Variables!$C$12+1,"sec","day")),POS_Q,"&lt;="&amp;Variables!$C$11))</f>
        <v/>
      </c>
      <c r="I185" s="30" t="str">
        <f>IF($B185="","",AVERAGEIFS(POS_elev,POS_Time,"&gt;="&amp;($C185+CONVERT(Variables!$C$12,"sec","day")),POS_Time,"&lt;="&amp;($D185-CONVERT(Variables!$C$12+1,"sec","day")),POS_Q,"&lt;="&amp;Variables!$C$11)-S185)</f>
        <v/>
      </c>
      <c r="J185" s="26" t="str">
        <f>IF($B185="","",'Rover CSV Data'!D185)</f>
        <v/>
      </c>
      <c r="K185" s="26" t="str">
        <f>IF($B185="","",'Rover CSV Data'!C185)</f>
        <v/>
      </c>
      <c r="L185" s="26" t="str">
        <f>IF($B185="","",'Rover CSV Data'!E185)</f>
        <v/>
      </c>
      <c r="M185" s="30" t="str">
        <f>IF($B185="","",AVERAGEIFS(sdn,POS_Time,"&gt;="&amp;($C185+CONVERT(Variables!$C$12,"sec","day")),POS_Time,"&lt;="&amp;($D185-CONVERT(Variables!$C$12+1,"sec","day")),POS_Q,"&lt;="&amp;Variables!$C$11))</f>
        <v/>
      </c>
      <c r="N185" s="31" t="str">
        <f>IF($B185="","",AVERAGEIFS(sde,POS_Time,"&gt;="&amp;($C185+CONVERT(Variables!$C$12,"sec","day")),POS_Time,"&lt;="&amp;($D185-CONVERT(Variables!$C$12+1,"sec","day")),POS_Q,"&lt;="&amp;Variables!$C$11))</f>
        <v/>
      </c>
      <c r="O185" s="31" t="str">
        <f>IF($B185="","",AVERAGEIFS(sdu,POS_Time,"&gt;="&amp;($C185+CONVERT(Variables!$C$12,"sec","day")),POS_Time,"&lt;="&amp;($D185-CONVERT(Variables!$C$12+1,"sec","day")),POS_Q,"&lt;="&amp;Variables!$C$11))</f>
        <v/>
      </c>
      <c r="P185" s="32" t="str">
        <f t="array" ref="P185">IF($B185="","",STDEV(IF(POS_Time&gt;=($C185+CONVERT(Variables!$C$12,"sec","day")),IF(POS_Time&lt;=($D185-CONVERT(Variables!$C$12+1,"sec","day")),IF(POS_Q&lt;=Variables!$C$11,POS_Lat)))))</f>
        <v/>
      </c>
      <c r="Q185" s="32" t="str">
        <f t="array" ref="Q185">IF($B185="","",STDEV(IF(POS_Time&gt;=($C185+CONVERT(Variables!$C$12,"sec","day")),IF(POS_Time&lt;=($D185-CONVERT(Variables!$C$12+1,"sec","day")),IF(POS_Q&lt;=Variables!$C$11,POS_Long)))))</f>
        <v/>
      </c>
      <c r="R185" s="32" t="str">
        <f t="array" ref="R185">IF($B185="","",STDEV(IF(POS_Time&gt;=($C185+CONVERT(Variables!$C$12,"sec","day")),IF(POS_Time&lt;=($D185-CONVERT(Variables!$C$12+1,"sec","day")),IF(POS_Q&lt;=Variables!$C$11,POS_elev)))))</f>
        <v/>
      </c>
      <c r="S185" s="30" t="str">
        <f>IF($B185="","",'Rover CSV Data'!K185)</f>
        <v/>
      </c>
      <c r="T185" s="26" t="str">
        <f>IF($B185="","",COUNTIFS(POS_Time,"&gt;="&amp;($C185+CONVERT(Variables!$C$12,"sec","day")),POS_Time,"&lt;="&amp;($D185-CONVERT(Variables!$C$12+1,"sec","day")),POS_Q,"&lt;="&amp;Variables!$C$11))</f>
        <v/>
      </c>
      <c r="U185" s="26" t="str">
        <f>IF($B185="","",IF(1&gt;Variables!$C$11,0,COUNTIFS(POS_Time,"&gt;="&amp;($C185+CONVERT(Variables!$C$12,"sec","day")),POS_Time,"&lt;="&amp;($D185-CONVERT(Variables!$C$12+1,"sec","day")),POS_Q,"=1")))</f>
        <v/>
      </c>
      <c r="V185" s="26" t="str">
        <f>IF($B185="","",IF(2&gt;Variables!$C$11,0,COUNTIFS(POS_Time,"&gt;="&amp;($C185+CONVERT(Variables!$C$12,"sec","day")),POS_Time,"&lt;="&amp;($D185-CONVERT(Variables!$C$12+1,"sec","day")),POS_Q,"=2")))</f>
        <v/>
      </c>
      <c r="W185" s="26" t="str">
        <f>IF($B185="","",IF(3&gt;Variables!$C$11,0,COUNTIFS(POS_Time,"&gt;="&amp;($C185+CONVERT(Variables!$C$12,"sec","day")),POS_Time,"&lt;="&amp;($D185-CONVERT(Variables!$C$12+1,"sec","day")),POS_Q,"=3")))</f>
        <v/>
      </c>
      <c r="X185" s="26" t="str">
        <f>IF($B185="","",IF(4&gt;Variables!$C$11,0,COUNTIFS(POS_Time,"&gt;="&amp;($C185+CONVERT(Variables!$C$12,"sec","day")),POS_Time,"&lt;="&amp;($D185-CONVERT(Variables!$C$12+1,"sec","day")),POS_Q,"=4")))</f>
        <v/>
      </c>
      <c r="Y185" s="26" t="str">
        <f>IF($B185="","",IF(5&gt;Variables!$C$11,0,COUNTIFS(POS_Time,"&gt;="&amp;($C185+CONVERT(Variables!$C$12,"sec","day")),POS_Time,"&lt;="&amp;($D185-CONVERT(Variables!$C$12+1,"sec","day")),POS_Q,"=5")))</f>
        <v/>
      </c>
      <c r="Z185" s="26" t="str">
        <f>IF($B185="","",IF(6&gt;Variables!$C$11,0,COUNTIFS(POS_Time,"&gt;="&amp;($C185+CONVERT(Variables!$C$12,"sec","day")),POS_Time,"&lt;="&amp;($D185-CONVERT(Variables!$C$12+1,"sec","day")),POS_Q,"=6")))</f>
        <v/>
      </c>
    </row>
    <row r="186" spans="1:26" x14ac:dyDescent="0.25">
      <c r="A186" s="2">
        <v>185</v>
      </c>
      <c r="B186" s="27" t="str">
        <f>IF((ROW()-1)&lt;=RoverStations,'Rover CSV Data'!B186,"")</f>
        <v/>
      </c>
      <c r="C186" s="28" t="str">
        <f>IF($B186="","",DATEVALUE(LEFT('Rover CSV Data'!F186,FIND(" ",'Rover CSV Data'!F186)-1))+TIMEVALUE(MID('Rover CSV Data'!F186,LEN('Rover CSV Data'!F186)-FIND(" ",'Rover CSV Data'!F186),(FIND(" UTC",'Rover CSV Data'!F186))-(LEN('Rover CSV Data'!F186)-FIND(" ",'Rover CSV Data'!F186)))))</f>
        <v/>
      </c>
      <c r="D186" s="28" t="str">
        <f>IF($B186="","",DATEVALUE(LEFT('Rover CSV Data'!G186,FIND(" ",'Rover CSV Data'!G186)-1))+TIMEVALUE(MID('Rover CSV Data'!G186,LEN('Rover CSV Data'!G186)-FIND(" ",'Rover CSV Data'!G186),(FIND(" UTC",'Rover CSV Data'!G186))-(LEN('Rover CSV Data'!G186)-FIND(" ",'Rover CSV Data'!G186)))))</f>
        <v/>
      </c>
      <c r="E186" s="29" t="str">
        <f t="shared" si="3"/>
        <v/>
      </c>
      <c r="F186" s="26" t="str">
        <f>IF($B186="","",'Rover CSV Data'!J186)</f>
        <v/>
      </c>
      <c r="G186" s="26" t="str">
        <f>IF($B186="","",AVERAGEIFS(POS_Lat,POS_Time,"&gt;="&amp;($C186+CONVERT(Variables!$C$12,"sec","day")),POS_Time,"&lt;="&amp;($D186-CONVERT(Variables!$C$12+1,"sec","day")),POS_Q,"&lt;="&amp;Variables!$C$11))</f>
        <v/>
      </c>
      <c r="H186" s="26" t="str">
        <f>IF($B186="","",AVERAGEIFS(POS_Long,POS_Time,"&gt;="&amp;($C186+CONVERT(Variables!$C$12,"sec","day")),POS_Time,"&lt;="&amp;($D186-CONVERT(Variables!$C$12+1,"sec","day")),POS_Q,"&lt;="&amp;Variables!$C$11))</f>
        <v/>
      </c>
      <c r="I186" s="30" t="str">
        <f>IF($B186="","",AVERAGEIFS(POS_elev,POS_Time,"&gt;="&amp;($C186+CONVERT(Variables!$C$12,"sec","day")),POS_Time,"&lt;="&amp;($D186-CONVERT(Variables!$C$12+1,"sec","day")),POS_Q,"&lt;="&amp;Variables!$C$11)-S186)</f>
        <v/>
      </c>
      <c r="J186" s="26" t="str">
        <f>IF($B186="","",'Rover CSV Data'!D186)</f>
        <v/>
      </c>
      <c r="K186" s="26" t="str">
        <f>IF($B186="","",'Rover CSV Data'!C186)</f>
        <v/>
      </c>
      <c r="L186" s="26" t="str">
        <f>IF($B186="","",'Rover CSV Data'!E186)</f>
        <v/>
      </c>
      <c r="M186" s="30" t="str">
        <f>IF($B186="","",AVERAGEIFS(sdn,POS_Time,"&gt;="&amp;($C186+CONVERT(Variables!$C$12,"sec","day")),POS_Time,"&lt;="&amp;($D186-CONVERT(Variables!$C$12+1,"sec","day")),POS_Q,"&lt;="&amp;Variables!$C$11))</f>
        <v/>
      </c>
      <c r="N186" s="31" t="str">
        <f>IF($B186="","",AVERAGEIFS(sde,POS_Time,"&gt;="&amp;($C186+CONVERT(Variables!$C$12,"sec","day")),POS_Time,"&lt;="&amp;($D186-CONVERT(Variables!$C$12+1,"sec","day")),POS_Q,"&lt;="&amp;Variables!$C$11))</f>
        <v/>
      </c>
      <c r="O186" s="31" t="str">
        <f>IF($B186="","",AVERAGEIFS(sdu,POS_Time,"&gt;="&amp;($C186+CONVERT(Variables!$C$12,"sec","day")),POS_Time,"&lt;="&amp;($D186-CONVERT(Variables!$C$12+1,"sec","day")),POS_Q,"&lt;="&amp;Variables!$C$11))</f>
        <v/>
      </c>
      <c r="P186" s="32" t="str">
        <f t="array" ref="P186">IF($B186="","",STDEV(IF(POS_Time&gt;=($C186+CONVERT(Variables!$C$12,"sec","day")),IF(POS_Time&lt;=($D186-CONVERT(Variables!$C$12+1,"sec","day")),IF(POS_Q&lt;=Variables!$C$11,POS_Lat)))))</f>
        <v/>
      </c>
      <c r="Q186" s="32" t="str">
        <f t="array" ref="Q186">IF($B186="","",STDEV(IF(POS_Time&gt;=($C186+CONVERT(Variables!$C$12,"sec","day")),IF(POS_Time&lt;=($D186-CONVERT(Variables!$C$12+1,"sec","day")),IF(POS_Q&lt;=Variables!$C$11,POS_Long)))))</f>
        <v/>
      </c>
      <c r="R186" s="32" t="str">
        <f t="array" ref="R186">IF($B186="","",STDEV(IF(POS_Time&gt;=($C186+CONVERT(Variables!$C$12,"sec","day")),IF(POS_Time&lt;=($D186-CONVERT(Variables!$C$12+1,"sec","day")),IF(POS_Q&lt;=Variables!$C$11,POS_elev)))))</f>
        <v/>
      </c>
      <c r="S186" s="30" t="str">
        <f>IF($B186="","",'Rover CSV Data'!K186)</f>
        <v/>
      </c>
      <c r="T186" s="26" t="str">
        <f>IF($B186="","",COUNTIFS(POS_Time,"&gt;="&amp;($C186+CONVERT(Variables!$C$12,"sec","day")),POS_Time,"&lt;="&amp;($D186-CONVERT(Variables!$C$12+1,"sec","day")),POS_Q,"&lt;="&amp;Variables!$C$11))</f>
        <v/>
      </c>
      <c r="U186" s="26" t="str">
        <f>IF($B186="","",IF(1&gt;Variables!$C$11,0,COUNTIFS(POS_Time,"&gt;="&amp;($C186+CONVERT(Variables!$C$12,"sec","day")),POS_Time,"&lt;="&amp;($D186-CONVERT(Variables!$C$12+1,"sec","day")),POS_Q,"=1")))</f>
        <v/>
      </c>
      <c r="V186" s="26" t="str">
        <f>IF($B186="","",IF(2&gt;Variables!$C$11,0,COUNTIFS(POS_Time,"&gt;="&amp;($C186+CONVERT(Variables!$C$12,"sec","day")),POS_Time,"&lt;="&amp;($D186-CONVERT(Variables!$C$12+1,"sec","day")),POS_Q,"=2")))</f>
        <v/>
      </c>
      <c r="W186" s="26" t="str">
        <f>IF($B186="","",IF(3&gt;Variables!$C$11,0,COUNTIFS(POS_Time,"&gt;="&amp;($C186+CONVERT(Variables!$C$12,"sec","day")),POS_Time,"&lt;="&amp;($D186-CONVERT(Variables!$C$12+1,"sec","day")),POS_Q,"=3")))</f>
        <v/>
      </c>
      <c r="X186" s="26" t="str">
        <f>IF($B186="","",IF(4&gt;Variables!$C$11,0,COUNTIFS(POS_Time,"&gt;="&amp;($C186+CONVERT(Variables!$C$12,"sec","day")),POS_Time,"&lt;="&amp;($D186-CONVERT(Variables!$C$12+1,"sec","day")),POS_Q,"=4")))</f>
        <v/>
      </c>
      <c r="Y186" s="26" t="str">
        <f>IF($B186="","",IF(5&gt;Variables!$C$11,0,COUNTIFS(POS_Time,"&gt;="&amp;($C186+CONVERT(Variables!$C$12,"sec","day")),POS_Time,"&lt;="&amp;($D186-CONVERT(Variables!$C$12+1,"sec","day")),POS_Q,"=5")))</f>
        <v/>
      </c>
      <c r="Z186" s="26" t="str">
        <f>IF($B186="","",IF(6&gt;Variables!$C$11,0,COUNTIFS(POS_Time,"&gt;="&amp;($C186+CONVERT(Variables!$C$12,"sec","day")),POS_Time,"&lt;="&amp;($D186-CONVERT(Variables!$C$12+1,"sec","day")),POS_Q,"=6")))</f>
        <v/>
      </c>
    </row>
    <row r="187" spans="1:26" x14ac:dyDescent="0.25">
      <c r="A187" s="2">
        <v>186</v>
      </c>
      <c r="B187" s="27" t="str">
        <f>IF((ROW()-1)&lt;=RoverStations,'Rover CSV Data'!B187,"")</f>
        <v/>
      </c>
      <c r="C187" s="28" t="str">
        <f>IF($B187="","",DATEVALUE(LEFT('Rover CSV Data'!F187,FIND(" ",'Rover CSV Data'!F187)-1))+TIMEVALUE(MID('Rover CSV Data'!F187,LEN('Rover CSV Data'!F187)-FIND(" ",'Rover CSV Data'!F187),(FIND(" UTC",'Rover CSV Data'!F187))-(LEN('Rover CSV Data'!F187)-FIND(" ",'Rover CSV Data'!F187)))))</f>
        <v/>
      </c>
      <c r="D187" s="28" t="str">
        <f>IF($B187="","",DATEVALUE(LEFT('Rover CSV Data'!G187,FIND(" ",'Rover CSV Data'!G187)-1))+TIMEVALUE(MID('Rover CSV Data'!G187,LEN('Rover CSV Data'!G187)-FIND(" ",'Rover CSV Data'!G187),(FIND(" UTC",'Rover CSV Data'!G187))-(LEN('Rover CSV Data'!G187)-FIND(" ",'Rover CSV Data'!G187)))))</f>
        <v/>
      </c>
      <c r="E187" s="29" t="str">
        <f t="shared" si="3"/>
        <v/>
      </c>
      <c r="F187" s="26" t="str">
        <f>IF($B187="","",'Rover CSV Data'!J187)</f>
        <v/>
      </c>
      <c r="G187" s="26" t="str">
        <f>IF($B187="","",AVERAGEIFS(POS_Lat,POS_Time,"&gt;="&amp;($C187+CONVERT(Variables!$C$12,"sec","day")),POS_Time,"&lt;="&amp;($D187-CONVERT(Variables!$C$12+1,"sec","day")),POS_Q,"&lt;="&amp;Variables!$C$11))</f>
        <v/>
      </c>
      <c r="H187" s="26" t="str">
        <f>IF($B187="","",AVERAGEIFS(POS_Long,POS_Time,"&gt;="&amp;($C187+CONVERT(Variables!$C$12,"sec","day")),POS_Time,"&lt;="&amp;($D187-CONVERT(Variables!$C$12+1,"sec","day")),POS_Q,"&lt;="&amp;Variables!$C$11))</f>
        <v/>
      </c>
      <c r="I187" s="30" t="str">
        <f>IF($B187="","",AVERAGEIFS(POS_elev,POS_Time,"&gt;="&amp;($C187+CONVERT(Variables!$C$12,"sec","day")),POS_Time,"&lt;="&amp;($D187-CONVERT(Variables!$C$12+1,"sec","day")),POS_Q,"&lt;="&amp;Variables!$C$11)-S187)</f>
        <v/>
      </c>
      <c r="J187" s="26" t="str">
        <f>IF($B187="","",'Rover CSV Data'!D187)</f>
        <v/>
      </c>
      <c r="K187" s="26" t="str">
        <f>IF($B187="","",'Rover CSV Data'!C187)</f>
        <v/>
      </c>
      <c r="L187" s="26" t="str">
        <f>IF($B187="","",'Rover CSV Data'!E187)</f>
        <v/>
      </c>
      <c r="M187" s="30" t="str">
        <f>IF($B187="","",AVERAGEIFS(sdn,POS_Time,"&gt;="&amp;($C187+CONVERT(Variables!$C$12,"sec","day")),POS_Time,"&lt;="&amp;($D187-CONVERT(Variables!$C$12+1,"sec","day")),POS_Q,"&lt;="&amp;Variables!$C$11))</f>
        <v/>
      </c>
      <c r="N187" s="31" t="str">
        <f>IF($B187="","",AVERAGEIFS(sde,POS_Time,"&gt;="&amp;($C187+CONVERT(Variables!$C$12,"sec","day")),POS_Time,"&lt;="&amp;($D187-CONVERT(Variables!$C$12+1,"sec","day")),POS_Q,"&lt;="&amp;Variables!$C$11))</f>
        <v/>
      </c>
      <c r="O187" s="31" t="str">
        <f>IF($B187="","",AVERAGEIFS(sdu,POS_Time,"&gt;="&amp;($C187+CONVERT(Variables!$C$12,"sec","day")),POS_Time,"&lt;="&amp;($D187-CONVERT(Variables!$C$12+1,"sec","day")),POS_Q,"&lt;="&amp;Variables!$C$11))</f>
        <v/>
      </c>
      <c r="P187" s="32" t="str">
        <f t="array" ref="P187">IF($B187="","",STDEV(IF(POS_Time&gt;=($C187+CONVERT(Variables!$C$12,"sec","day")),IF(POS_Time&lt;=($D187-CONVERT(Variables!$C$12+1,"sec","day")),IF(POS_Q&lt;=Variables!$C$11,POS_Lat)))))</f>
        <v/>
      </c>
      <c r="Q187" s="32" t="str">
        <f t="array" ref="Q187">IF($B187="","",STDEV(IF(POS_Time&gt;=($C187+CONVERT(Variables!$C$12,"sec","day")),IF(POS_Time&lt;=($D187-CONVERT(Variables!$C$12+1,"sec","day")),IF(POS_Q&lt;=Variables!$C$11,POS_Long)))))</f>
        <v/>
      </c>
      <c r="R187" s="32" t="str">
        <f t="array" ref="R187">IF($B187="","",STDEV(IF(POS_Time&gt;=($C187+CONVERT(Variables!$C$12,"sec","day")),IF(POS_Time&lt;=($D187-CONVERT(Variables!$C$12+1,"sec","day")),IF(POS_Q&lt;=Variables!$C$11,POS_elev)))))</f>
        <v/>
      </c>
      <c r="S187" s="30" t="str">
        <f>IF($B187="","",'Rover CSV Data'!K187)</f>
        <v/>
      </c>
      <c r="T187" s="26" t="str">
        <f>IF($B187="","",COUNTIFS(POS_Time,"&gt;="&amp;($C187+CONVERT(Variables!$C$12,"sec","day")),POS_Time,"&lt;="&amp;($D187-CONVERT(Variables!$C$12+1,"sec","day")),POS_Q,"&lt;="&amp;Variables!$C$11))</f>
        <v/>
      </c>
      <c r="U187" s="26" t="str">
        <f>IF($B187="","",IF(1&gt;Variables!$C$11,0,COUNTIFS(POS_Time,"&gt;="&amp;($C187+CONVERT(Variables!$C$12,"sec","day")),POS_Time,"&lt;="&amp;($D187-CONVERT(Variables!$C$12+1,"sec","day")),POS_Q,"=1")))</f>
        <v/>
      </c>
      <c r="V187" s="26" t="str">
        <f>IF($B187="","",IF(2&gt;Variables!$C$11,0,COUNTIFS(POS_Time,"&gt;="&amp;($C187+CONVERT(Variables!$C$12,"sec","day")),POS_Time,"&lt;="&amp;($D187-CONVERT(Variables!$C$12+1,"sec","day")),POS_Q,"=2")))</f>
        <v/>
      </c>
      <c r="W187" s="26" t="str">
        <f>IF($B187="","",IF(3&gt;Variables!$C$11,0,COUNTIFS(POS_Time,"&gt;="&amp;($C187+CONVERT(Variables!$C$12,"sec","day")),POS_Time,"&lt;="&amp;($D187-CONVERT(Variables!$C$12+1,"sec","day")),POS_Q,"=3")))</f>
        <v/>
      </c>
      <c r="X187" s="26" t="str">
        <f>IF($B187="","",IF(4&gt;Variables!$C$11,0,COUNTIFS(POS_Time,"&gt;="&amp;($C187+CONVERT(Variables!$C$12,"sec","day")),POS_Time,"&lt;="&amp;($D187-CONVERT(Variables!$C$12+1,"sec","day")),POS_Q,"=4")))</f>
        <v/>
      </c>
      <c r="Y187" s="26" t="str">
        <f>IF($B187="","",IF(5&gt;Variables!$C$11,0,COUNTIFS(POS_Time,"&gt;="&amp;($C187+CONVERT(Variables!$C$12,"sec","day")),POS_Time,"&lt;="&amp;($D187-CONVERT(Variables!$C$12+1,"sec","day")),POS_Q,"=5")))</f>
        <v/>
      </c>
      <c r="Z187" s="26" t="str">
        <f>IF($B187="","",IF(6&gt;Variables!$C$11,0,COUNTIFS(POS_Time,"&gt;="&amp;($C187+CONVERT(Variables!$C$12,"sec","day")),POS_Time,"&lt;="&amp;($D187-CONVERT(Variables!$C$12+1,"sec","day")),POS_Q,"=6")))</f>
        <v/>
      </c>
    </row>
    <row r="188" spans="1:26" x14ac:dyDescent="0.25">
      <c r="A188" s="2">
        <v>187</v>
      </c>
      <c r="B188" s="27" t="str">
        <f>IF((ROW()-1)&lt;=RoverStations,'Rover CSV Data'!B188,"")</f>
        <v/>
      </c>
      <c r="C188" s="28" t="str">
        <f>IF($B188="","",DATEVALUE(LEFT('Rover CSV Data'!F188,FIND(" ",'Rover CSV Data'!F188)-1))+TIMEVALUE(MID('Rover CSV Data'!F188,LEN('Rover CSV Data'!F188)-FIND(" ",'Rover CSV Data'!F188),(FIND(" UTC",'Rover CSV Data'!F188))-(LEN('Rover CSV Data'!F188)-FIND(" ",'Rover CSV Data'!F188)))))</f>
        <v/>
      </c>
      <c r="D188" s="28" t="str">
        <f>IF($B188="","",DATEVALUE(LEFT('Rover CSV Data'!G188,FIND(" ",'Rover CSV Data'!G188)-1))+TIMEVALUE(MID('Rover CSV Data'!G188,LEN('Rover CSV Data'!G188)-FIND(" ",'Rover CSV Data'!G188),(FIND(" UTC",'Rover CSV Data'!G188))-(LEN('Rover CSV Data'!G188)-FIND(" ",'Rover CSV Data'!G188)))))</f>
        <v/>
      </c>
      <c r="E188" s="29" t="str">
        <f t="shared" si="3"/>
        <v/>
      </c>
      <c r="F188" s="26" t="str">
        <f>IF($B188="","",'Rover CSV Data'!J188)</f>
        <v/>
      </c>
      <c r="G188" s="26" t="str">
        <f>IF($B188="","",AVERAGEIFS(POS_Lat,POS_Time,"&gt;="&amp;($C188+CONVERT(Variables!$C$12,"sec","day")),POS_Time,"&lt;="&amp;($D188-CONVERT(Variables!$C$12+1,"sec","day")),POS_Q,"&lt;="&amp;Variables!$C$11))</f>
        <v/>
      </c>
      <c r="H188" s="26" t="str">
        <f>IF($B188="","",AVERAGEIFS(POS_Long,POS_Time,"&gt;="&amp;($C188+CONVERT(Variables!$C$12,"sec","day")),POS_Time,"&lt;="&amp;($D188-CONVERT(Variables!$C$12+1,"sec","day")),POS_Q,"&lt;="&amp;Variables!$C$11))</f>
        <v/>
      </c>
      <c r="I188" s="30" t="str">
        <f>IF($B188="","",AVERAGEIFS(POS_elev,POS_Time,"&gt;="&amp;($C188+CONVERT(Variables!$C$12,"sec","day")),POS_Time,"&lt;="&amp;($D188-CONVERT(Variables!$C$12+1,"sec","day")),POS_Q,"&lt;="&amp;Variables!$C$11)-S188)</f>
        <v/>
      </c>
      <c r="J188" s="26" t="str">
        <f>IF($B188="","",'Rover CSV Data'!D188)</f>
        <v/>
      </c>
      <c r="K188" s="26" t="str">
        <f>IF($B188="","",'Rover CSV Data'!C188)</f>
        <v/>
      </c>
      <c r="L188" s="26" t="str">
        <f>IF($B188="","",'Rover CSV Data'!E188)</f>
        <v/>
      </c>
      <c r="M188" s="30" t="str">
        <f>IF($B188="","",AVERAGEIFS(sdn,POS_Time,"&gt;="&amp;($C188+CONVERT(Variables!$C$12,"sec","day")),POS_Time,"&lt;="&amp;($D188-CONVERT(Variables!$C$12+1,"sec","day")),POS_Q,"&lt;="&amp;Variables!$C$11))</f>
        <v/>
      </c>
      <c r="N188" s="31" t="str">
        <f>IF($B188="","",AVERAGEIFS(sde,POS_Time,"&gt;="&amp;($C188+CONVERT(Variables!$C$12,"sec","day")),POS_Time,"&lt;="&amp;($D188-CONVERT(Variables!$C$12+1,"sec","day")),POS_Q,"&lt;="&amp;Variables!$C$11))</f>
        <v/>
      </c>
      <c r="O188" s="31" t="str">
        <f>IF($B188="","",AVERAGEIFS(sdu,POS_Time,"&gt;="&amp;($C188+CONVERT(Variables!$C$12,"sec","day")),POS_Time,"&lt;="&amp;($D188-CONVERT(Variables!$C$12+1,"sec","day")),POS_Q,"&lt;="&amp;Variables!$C$11))</f>
        <v/>
      </c>
      <c r="P188" s="32" t="str">
        <f t="array" ref="P188">IF($B188="","",STDEV(IF(POS_Time&gt;=($C188+CONVERT(Variables!$C$12,"sec","day")),IF(POS_Time&lt;=($D188-CONVERT(Variables!$C$12+1,"sec","day")),IF(POS_Q&lt;=Variables!$C$11,POS_Lat)))))</f>
        <v/>
      </c>
      <c r="Q188" s="32" t="str">
        <f t="array" ref="Q188">IF($B188="","",STDEV(IF(POS_Time&gt;=($C188+CONVERT(Variables!$C$12,"sec","day")),IF(POS_Time&lt;=($D188-CONVERT(Variables!$C$12+1,"sec","day")),IF(POS_Q&lt;=Variables!$C$11,POS_Long)))))</f>
        <v/>
      </c>
      <c r="R188" s="32" t="str">
        <f t="array" ref="R188">IF($B188="","",STDEV(IF(POS_Time&gt;=($C188+CONVERT(Variables!$C$12,"sec","day")),IF(POS_Time&lt;=($D188-CONVERT(Variables!$C$12+1,"sec","day")),IF(POS_Q&lt;=Variables!$C$11,POS_elev)))))</f>
        <v/>
      </c>
      <c r="S188" s="30" t="str">
        <f>IF($B188="","",'Rover CSV Data'!K188)</f>
        <v/>
      </c>
      <c r="T188" s="26" t="str">
        <f>IF($B188="","",COUNTIFS(POS_Time,"&gt;="&amp;($C188+CONVERT(Variables!$C$12,"sec","day")),POS_Time,"&lt;="&amp;($D188-CONVERT(Variables!$C$12+1,"sec","day")),POS_Q,"&lt;="&amp;Variables!$C$11))</f>
        <v/>
      </c>
      <c r="U188" s="26" t="str">
        <f>IF($B188="","",IF(1&gt;Variables!$C$11,0,COUNTIFS(POS_Time,"&gt;="&amp;($C188+CONVERT(Variables!$C$12,"sec","day")),POS_Time,"&lt;="&amp;($D188-CONVERT(Variables!$C$12+1,"sec","day")),POS_Q,"=1")))</f>
        <v/>
      </c>
      <c r="V188" s="26" t="str">
        <f>IF($B188="","",IF(2&gt;Variables!$C$11,0,COUNTIFS(POS_Time,"&gt;="&amp;($C188+CONVERT(Variables!$C$12,"sec","day")),POS_Time,"&lt;="&amp;($D188-CONVERT(Variables!$C$12+1,"sec","day")),POS_Q,"=2")))</f>
        <v/>
      </c>
      <c r="W188" s="26" t="str">
        <f>IF($B188="","",IF(3&gt;Variables!$C$11,0,COUNTIFS(POS_Time,"&gt;="&amp;($C188+CONVERT(Variables!$C$12,"sec","day")),POS_Time,"&lt;="&amp;($D188-CONVERT(Variables!$C$12+1,"sec","day")),POS_Q,"=3")))</f>
        <v/>
      </c>
      <c r="X188" s="26" t="str">
        <f>IF($B188="","",IF(4&gt;Variables!$C$11,0,COUNTIFS(POS_Time,"&gt;="&amp;($C188+CONVERT(Variables!$C$12,"sec","day")),POS_Time,"&lt;="&amp;($D188-CONVERT(Variables!$C$12+1,"sec","day")),POS_Q,"=4")))</f>
        <v/>
      </c>
      <c r="Y188" s="26" t="str">
        <f>IF($B188="","",IF(5&gt;Variables!$C$11,0,COUNTIFS(POS_Time,"&gt;="&amp;($C188+CONVERT(Variables!$C$12,"sec","day")),POS_Time,"&lt;="&amp;($D188-CONVERT(Variables!$C$12+1,"sec","day")),POS_Q,"=5")))</f>
        <v/>
      </c>
      <c r="Z188" s="26" t="str">
        <f>IF($B188="","",IF(6&gt;Variables!$C$11,0,COUNTIFS(POS_Time,"&gt;="&amp;($C188+CONVERT(Variables!$C$12,"sec","day")),POS_Time,"&lt;="&amp;($D188-CONVERT(Variables!$C$12+1,"sec","day")),POS_Q,"=6")))</f>
        <v/>
      </c>
    </row>
    <row r="189" spans="1:26" x14ac:dyDescent="0.25">
      <c r="A189" s="2">
        <v>188</v>
      </c>
      <c r="B189" s="27" t="str">
        <f>IF((ROW()-1)&lt;=RoverStations,'Rover CSV Data'!B189,"")</f>
        <v/>
      </c>
      <c r="C189" s="28" t="str">
        <f>IF($B189="","",DATEVALUE(LEFT('Rover CSV Data'!F189,FIND(" ",'Rover CSV Data'!F189)-1))+TIMEVALUE(MID('Rover CSV Data'!F189,LEN('Rover CSV Data'!F189)-FIND(" ",'Rover CSV Data'!F189),(FIND(" UTC",'Rover CSV Data'!F189))-(LEN('Rover CSV Data'!F189)-FIND(" ",'Rover CSV Data'!F189)))))</f>
        <v/>
      </c>
      <c r="D189" s="28" t="str">
        <f>IF($B189="","",DATEVALUE(LEFT('Rover CSV Data'!G189,FIND(" ",'Rover CSV Data'!G189)-1))+TIMEVALUE(MID('Rover CSV Data'!G189,LEN('Rover CSV Data'!G189)-FIND(" ",'Rover CSV Data'!G189),(FIND(" UTC",'Rover CSV Data'!G189))-(LEN('Rover CSV Data'!G189)-FIND(" ",'Rover CSV Data'!G189)))))</f>
        <v/>
      </c>
      <c r="E189" s="29" t="str">
        <f t="shared" si="3"/>
        <v/>
      </c>
      <c r="F189" s="26" t="str">
        <f>IF($B189="","",'Rover CSV Data'!J189)</f>
        <v/>
      </c>
      <c r="G189" s="26" t="str">
        <f>IF($B189="","",AVERAGEIFS(POS_Lat,POS_Time,"&gt;="&amp;($C189+CONVERT(Variables!$C$12,"sec","day")),POS_Time,"&lt;="&amp;($D189-CONVERT(Variables!$C$12+1,"sec","day")),POS_Q,"&lt;="&amp;Variables!$C$11))</f>
        <v/>
      </c>
      <c r="H189" s="26" t="str">
        <f>IF($B189="","",AVERAGEIFS(POS_Long,POS_Time,"&gt;="&amp;($C189+CONVERT(Variables!$C$12,"sec","day")),POS_Time,"&lt;="&amp;($D189-CONVERT(Variables!$C$12+1,"sec","day")),POS_Q,"&lt;="&amp;Variables!$C$11))</f>
        <v/>
      </c>
      <c r="I189" s="30" t="str">
        <f>IF($B189="","",AVERAGEIFS(POS_elev,POS_Time,"&gt;="&amp;($C189+CONVERT(Variables!$C$12,"sec","day")),POS_Time,"&lt;="&amp;($D189-CONVERT(Variables!$C$12+1,"sec","day")),POS_Q,"&lt;="&amp;Variables!$C$11)-S189)</f>
        <v/>
      </c>
      <c r="J189" s="26" t="str">
        <f>IF($B189="","",'Rover CSV Data'!D189)</f>
        <v/>
      </c>
      <c r="K189" s="26" t="str">
        <f>IF($B189="","",'Rover CSV Data'!C189)</f>
        <v/>
      </c>
      <c r="L189" s="26" t="str">
        <f>IF($B189="","",'Rover CSV Data'!E189)</f>
        <v/>
      </c>
      <c r="M189" s="30" t="str">
        <f>IF($B189="","",AVERAGEIFS(sdn,POS_Time,"&gt;="&amp;($C189+CONVERT(Variables!$C$12,"sec","day")),POS_Time,"&lt;="&amp;($D189-CONVERT(Variables!$C$12+1,"sec","day")),POS_Q,"&lt;="&amp;Variables!$C$11))</f>
        <v/>
      </c>
      <c r="N189" s="31" t="str">
        <f>IF($B189="","",AVERAGEIFS(sde,POS_Time,"&gt;="&amp;($C189+CONVERT(Variables!$C$12,"sec","day")),POS_Time,"&lt;="&amp;($D189-CONVERT(Variables!$C$12+1,"sec","day")),POS_Q,"&lt;="&amp;Variables!$C$11))</f>
        <v/>
      </c>
      <c r="O189" s="31" t="str">
        <f>IF($B189="","",AVERAGEIFS(sdu,POS_Time,"&gt;="&amp;($C189+CONVERT(Variables!$C$12,"sec","day")),POS_Time,"&lt;="&amp;($D189-CONVERT(Variables!$C$12+1,"sec","day")),POS_Q,"&lt;="&amp;Variables!$C$11))</f>
        <v/>
      </c>
      <c r="P189" s="32" t="str">
        <f t="array" ref="P189">IF($B189="","",STDEV(IF(POS_Time&gt;=($C189+CONVERT(Variables!$C$12,"sec","day")),IF(POS_Time&lt;=($D189-CONVERT(Variables!$C$12+1,"sec","day")),IF(POS_Q&lt;=Variables!$C$11,POS_Lat)))))</f>
        <v/>
      </c>
      <c r="Q189" s="32" t="str">
        <f t="array" ref="Q189">IF($B189="","",STDEV(IF(POS_Time&gt;=($C189+CONVERT(Variables!$C$12,"sec","day")),IF(POS_Time&lt;=($D189-CONVERT(Variables!$C$12+1,"sec","day")),IF(POS_Q&lt;=Variables!$C$11,POS_Long)))))</f>
        <v/>
      </c>
      <c r="R189" s="32" t="str">
        <f t="array" ref="R189">IF($B189="","",STDEV(IF(POS_Time&gt;=($C189+CONVERT(Variables!$C$12,"sec","day")),IF(POS_Time&lt;=($D189-CONVERT(Variables!$C$12+1,"sec","day")),IF(POS_Q&lt;=Variables!$C$11,POS_elev)))))</f>
        <v/>
      </c>
      <c r="S189" s="30" t="str">
        <f>IF($B189="","",'Rover CSV Data'!K189)</f>
        <v/>
      </c>
      <c r="T189" s="26" t="str">
        <f>IF($B189="","",COUNTIFS(POS_Time,"&gt;="&amp;($C189+CONVERT(Variables!$C$12,"sec","day")),POS_Time,"&lt;="&amp;($D189-CONVERT(Variables!$C$12+1,"sec","day")),POS_Q,"&lt;="&amp;Variables!$C$11))</f>
        <v/>
      </c>
      <c r="U189" s="26" t="str">
        <f>IF($B189="","",IF(1&gt;Variables!$C$11,0,COUNTIFS(POS_Time,"&gt;="&amp;($C189+CONVERT(Variables!$C$12,"sec","day")),POS_Time,"&lt;="&amp;($D189-CONVERT(Variables!$C$12+1,"sec","day")),POS_Q,"=1")))</f>
        <v/>
      </c>
      <c r="V189" s="26" t="str">
        <f>IF($B189="","",IF(2&gt;Variables!$C$11,0,COUNTIFS(POS_Time,"&gt;="&amp;($C189+CONVERT(Variables!$C$12,"sec","day")),POS_Time,"&lt;="&amp;($D189-CONVERT(Variables!$C$12+1,"sec","day")),POS_Q,"=2")))</f>
        <v/>
      </c>
      <c r="W189" s="26" t="str">
        <f>IF($B189="","",IF(3&gt;Variables!$C$11,0,COUNTIFS(POS_Time,"&gt;="&amp;($C189+CONVERT(Variables!$C$12,"sec","day")),POS_Time,"&lt;="&amp;($D189-CONVERT(Variables!$C$12+1,"sec","day")),POS_Q,"=3")))</f>
        <v/>
      </c>
      <c r="X189" s="26" t="str">
        <f>IF($B189="","",IF(4&gt;Variables!$C$11,0,COUNTIFS(POS_Time,"&gt;="&amp;($C189+CONVERT(Variables!$C$12,"sec","day")),POS_Time,"&lt;="&amp;($D189-CONVERT(Variables!$C$12+1,"sec","day")),POS_Q,"=4")))</f>
        <v/>
      </c>
      <c r="Y189" s="26" t="str">
        <f>IF($B189="","",IF(5&gt;Variables!$C$11,0,COUNTIFS(POS_Time,"&gt;="&amp;($C189+CONVERT(Variables!$C$12,"sec","day")),POS_Time,"&lt;="&amp;($D189-CONVERT(Variables!$C$12+1,"sec","day")),POS_Q,"=5")))</f>
        <v/>
      </c>
      <c r="Z189" s="26" t="str">
        <f>IF($B189="","",IF(6&gt;Variables!$C$11,0,COUNTIFS(POS_Time,"&gt;="&amp;($C189+CONVERT(Variables!$C$12,"sec","day")),POS_Time,"&lt;="&amp;($D189-CONVERT(Variables!$C$12+1,"sec","day")),POS_Q,"=6")))</f>
        <v/>
      </c>
    </row>
    <row r="190" spans="1:26" x14ac:dyDescent="0.25">
      <c r="A190" s="2">
        <v>189</v>
      </c>
      <c r="B190" s="27" t="str">
        <f>IF((ROW()-1)&lt;=RoverStations,'Rover CSV Data'!B190,"")</f>
        <v/>
      </c>
      <c r="C190" s="28" t="str">
        <f>IF($B190="","",DATEVALUE(LEFT('Rover CSV Data'!F190,FIND(" ",'Rover CSV Data'!F190)-1))+TIMEVALUE(MID('Rover CSV Data'!F190,LEN('Rover CSV Data'!F190)-FIND(" ",'Rover CSV Data'!F190),(FIND(" UTC",'Rover CSV Data'!F190))-(LEN('Rover CSV Data'!F190)-FIND(" ",'Rover CSV Data'!F190)))))</f>
        <v/>
      </c>
      <c r="D190" s="28" t="str">
        <f>IF($B190="","",DATEVALUE(LEFT('Rover CSV Data'!G190,FIND(" ",'Rover CSV Data'!G190)-1))+TIMEVALUE(MID('Rover CSV Data'!G190,LEN('Rover CSV Data'!G190)-FIND(" ",'Rover CSV Data'!G190),(FIND(" UTC",'Rover CSV Data'!G190))-(LEN('Rover CSV Data'!G190)-FIND(" ",'Rover CSV Data'!G190)))))</f>
        <v/>
      </c>
      <c r="E190" s="29" t="str">
        <f t="shared" si="3"/>
        <v/>
      </c>
      <c r="F190" s="26" t="str">
        <f>IF($B190="","",'Rover CSV Data'!J190)</f>
        <v/>
      </c>
      <c r="G190" s="26" t="str">
        <f>IF($B190="","",AVERAGEIFS(POS_Lat,POS_Time,"&gt;="&amp;($C190+CONVERT(Variables!$C$12,"sec","day")),POS_Time,"&lt;="&amp;($D190-CONVERT(Variables!$C$12+1,"sec","day")),POS_Q,"&lt;="&amp;Variables!$C$11))</f>
        <v/>
      </c>
      <c r="H190" s="26" t="str">
        <f>IF($B190="","",AVERAGEIFS(POS_Long,POS_Time,"&gt;="&amp;($C190+CONVERT(Variables!$C$12,"sec","day")),POS_Time,"&lt;="&amp;($D190-CONVERT(Variables!$C$12+1,"sec","day")),POS_Q,"&lt;="&amp;Variables!$C$11))</f>
        <v/>
      </c>
      <c r="I190" s="30" t="str">
        <f>IF($B190="","",AVERAGEIFS(POS_elev,POS_Time,"&gt;="&amp;($C190+CONVERT(Variables!$C$12,"sec","day")),POS_Time,"&lt;="&amp;($D190-CONVERT(Variables!$C$12+1,"sec","day")),POS_Q,"&lt;="&amp;Variables!$C$11)-S190)</f>
        <v/>
      </c>
      <c r="J190" s="26" t="str">
        <f>IF($B190="","",'Rover CSV Data'!D190)</f>
        <v/>
      </c>
      <c r="K190" s="26" t="str">
        <f>IF($B190="","",'Rover CSV Data'!C190)</f>
        <v/>
      </c>
      <c r="L190" s="26" t="str">
        <f>IF($B190="","",'Rover CSV Data'!E190)</f>
        <v/>
      </c>
      <c r="M190" s="30" t="str">
        <f>IF($B190="","",AVERAGEIFS(sdn,POS_Time,"&gt;="&amp;($C190+CONVERT(Variables!$C$12,"sec","day")),POS_Time,"&lt;="&amp;($D190-CONVERT(Variables!$C$12+1,"sec","day")),POS_Q,"&lt;="&amp;Variables!$C$11))</f>
        <v/>
      </c>
      <c r="N190" s="31" t="str">
        <f>IF($B190="","",AVERAGEIFS(sde,POS_Time,"&gt;="&amp;($C190+CONVERT(Variables!$C$12,"sec","day")),POS_Time,"&lt;="&amp;($D190-CONVERT(Variables!$C$12+1,"sec","day")),POS_Q,"&lt;="&amp;Variables!$C$11))</f>
        <v/>
      </c>
      <c r="O190" s="31" t="str">
        <f>IF($B190="","",AVERAGEIFS(sdu,POS_Time,"&gt;="&amp;($C190+CONVERT(Variables!$C$12,"sec","day")),POS_Time,"&lt;="&amp;($D190-CONVERT(Variables!$C$12+1,"sec","day")),POS_Q,"&lt;="&amp;Variables!$C$11))</f>
        <v/>
      </c>
      <c r="P190" s="32" t="str">
        <f t="array" ref="P190">IF($B190="","",STDEV(IF(POS_Time&gt;=($C190+CONVERT(Variables!$C$12,"sec","day")),IF(POS_Time&lt;=($D190-CONVERT(Variables!$C$12+1,"sec","day")),IF(POS_Q&lt;=Variables!$C$11,POS_Lat)))))</f>
        <v/>
      </c>
      <c r="Q190" s="32" t="str">
        <f t="array" ref="Q190">IF($B190="","",STDEV(IF(POS_Time&gt;=($C190+CONVERT(Variables!$C$12,"sec","day")),IF(POS_Time&lt;=($D190-CONVERT(Variables!$C$12+1,"sec","day")),IF(POS_Q&lt;=Variables!$C$11,POS_Long)))))</f>
        <v/>
      </c>
      <c r="R190" s="32" t="str">
        <f t="array" ref="R190">IF($B190="","",STDEV(IF(POS_Time&gt;=($C190+CONVERT(Variables!$C$12,"sec","day")),IF(POS_Time&lt;=($D190-CONVERT(Variables!$C$12+1,"sec","day")),IF(POS_Q&lt;=Variables!$C$11,POS_elev)))))</f>
        <v/>
      </c>
      <c r="S190" s="30" t="str">
        <f>IF($B190="","",'Rover CSV Data'!K190)</f>
        <v/>
      </c>
      <c r="T190" s="26" t="str">
        <f>IF($B190="","",COUNTIFS(POS_Time,"&gt;="&amp;($C190+CONVERT(Variables!$C$12,"sec","day")),POS_Time,"&lt;="&amp;($D190-CONVERT(Variables!$C$12+1,"sec","day")),POS_Q,"&lt;="&amp;Variables!$C$11))</f>
        <v/>
      </c>
      <c r="U190" s="26" t="str">
        <f>IF($B190="","",IF(1&gt;Variables!$C$11,0,COUNTIFS(POS_Time,"&gt;="&amp;($C190+CONVERT(Variables!$C$12,"sec","day")),POS_Time,"&lt;="&amp;($D190-CONVERT(Variables!$C$12+1,"sec","day")),POS_Q,"=1")))</f>
        <v/>
      </c>
      <c r="V190" s="26" t="str">
        <f>IF($B190="","",IF(2&gt;Variables!$C$11,0,COUNTIFS(POS_Time,"&gt;="&amp;($C190+CONVERT(Variables!$C$12,"sec","day")),POS_Time,"&lt;="&amp;($D190-CONVERT(Variables!$C$12+1,"sec","day")),POS_Q,"=2")))</f>
        <v/>
      </c>
      <c r="W190" s="26" t="str">
        <f>IF($B190="","",IF(3&gt;Variables!$C$11,0,COUNTIFS(POS_Time,"&gt;="&amp;($C190+CONVERT(Variables!$C$12,"sec","day")),POS_Time,"&lt;="&amp;($D190-CONVERT(Variables!$C$12+1,"sec","day")),POS_Q,"=3")))</f>
        <v/>
      </c>
      <c r="X190" s="26" t="str">
        <f>IF($B190="","",IF(4&gt;Variables!$C$11,0,COUNTIFS(POS_Time,"&gt;="&amp;($C190+CONVERT(Variables!$C$12,"sec","day")),POS_Time,"&lt;="&amp;($D190-CONVERT(Variables!$C$12+1,"sec","day")),POS_Q,"=4")))</f>
        <v/>
      </c>
      <c r="Y190" s="26" t="str">
        <f>IF($B190="","",IF(5&gt;Variables!$C$11,0,COUNTIFS(POS_Time,"&gt;="&amp;($C190+CONVERT(Variables!$C$12,"sec","day")),POS_Time,"&lt;="&amp;($D190-CONVERT(Variables!$C$12+1,"sec","day")),POS_Q,"=5")))</f>
        <v/>
      </c>
      <c r="Z190" s="26" t="str">
        <f>IF($B190="","",IF(6&gt;Variables!$C$11,0,COUNTIFS(POS_Time,"&gt;="&amp;($C190+CONVERT(Variables!$C$12,"sec","day")),POS_Time,"&lt;="&amp;($D190-CONVERT(Variables!$C$12+1,"sec","day")),POS_Q,"=6")))</f>
        <v/>
      </c>
    </row>
    <row r="191" spans="1:26" x14ac:dyDescent="0.25">
      <c r="A191" s="2">
        <v>190</v>
      </c>
      <c r="B191" s="27" t="str">
        <f>IF((ROW()-1)&lt;=RoverStations,'Rover CSV Data'!B191,"")</f>
        <v/>
      </c>
      <c r="C191" s="28" t="str">
        <f>IF($B191="","",DATEVALUE(LEFT('Rover CSV Data'!F191,FIND(" ",'Rover CSV Data'!F191)-1))+TIMEVALUE(MID('Rover CSV Data'!F191,LEN('Rover CSV Data'!F191)-FIND(" ",'Rover CSV Data'!F191),(FIND(" UTC",'Rover CSV Data'!F191))-(LEN('Rover CSV Data'!F191)-FIND(" ",'Rover CSV Data'!F191)))))</f>
        <v/>
      </c>
      <c r="D191" s="28" t="str">
        <f>IF($B191="","",DATEVALUE(LEFT('Rover CSV Data'!G191,FIND(" ",'Rover CSV Data'!G191)-1))+TIMEVALUE(MID('Rover CSV Data'!G191,LEN('Rover CSV Data'!G191)-FIND(" ",'Rover CSV Data'!G191),(FIND(" UTC",'Rover CSV Data'!G191))-(LEN('Rover CSV Data'!G191)-FIND(" ",'Rover CSV Data'!G191)))))</f>
        <v/>
      </c>
      <c r="E191" s="29" t="str">
        <f t="shared" si="3"/>
        <v/>
      </c>
      <c r="F191" s="26" t="str">
        <f>IF($B191="","",'Rover CSV Data'!J191)</f>
        <v/>
      </c>
      <c r="G191" s="26" t="str">
        <f>IF($B191="","",AVERAGEIFS(POS_Lat,POS_Time,"&gt;="&amp;($C191+CONVERT(Variables!$C$12,"sec","day")),POS_Time,"&lt;="&amp;($D191-CONVERT(Variables!$C$12+1,"sec","day")),POS_Q,"&lt;="&amp;Variables!$C$11))</f>
        <v/>
      </c>
      <c r="H191" s="26" t="str">
        <f>IF($B191="","",AVERAGEIFS(POS_Long,POS_Time,"&gt;="&amp;($C191+CONVERT(Variables!$C$12,"sec","day")),POS_Time,"&lt;="&amp;($D191-CONVERT(Variables!$C$12+1,"sec","day")),POS_Q,"&lt;="&amp;Variables!$C$11))</f>
        <v/>
      </c>
      <c r="I191" s="30" t="str">
        <f>IF($B191="","",AVERAGEIFS(POS_elev,POS_Time,"&gt;="&amp;($C191+CONVERT(Variables!$C$12,"sec","day")),POS_Time,"&lt;="&amp;($D191-CONVERT(Variables!$C$12+1,"sec","day")),POS_Q,"&lt;="&amp;Variables!$C$11)-S191)</f>
        <v/>
      </c>
      <c r="J191" s="26" t="str">
        <f>IF($B191="","",'Rover CSV Data'!D191)</f>
        <v/>
      </c>
      <c r="K191" s="26" t="str">
        <f>IF($B191="","",'Rover CSV Data'!C191)</f>
        <v/>
      </c>
      <c r="L191" s="26" t="str">
        <f>IF($B191="","",'Rover CSV Data'!E191)</f>
        <v/>
      </c>
      <c r="M191" s="30" t="str">
        <f>IF($B191="","",AVERAGEIFS(sdn,POS_Time,"&gt;="&amp;($C191+CONVERT(Variables!$C$12,"sec","day")),POS_Time,"&lt;="&amp;($D191-CONVERT(Variables!$C$12+1,"sec","day")),POS_Q,"&lt;="&amp;Variables!$C$11))</f>
        <v/>
      </c>
      <c r="N191" s="31" t="str">
        <f>IF($B191="","",AVERAGEIFS(sde,POS_Time,"&gt;="&amp;($C191+CONVERT(Variables!$C$12,"sec","day")),POS_Time,"&lt;="&amp;($D191-CONVERT(Variables!$C$12+1,"sec","day")),POS_Q,"&lt;="&amp;Variables!$C$11))</f>
        <v/>
      </c>
      <c r="O191" s="31" t="str">
        <f>IF($B191="","",AVERAGEIFS(sdu,POS_Time,"&gt;="&amp;($C191+CONVERT(Variables!$C$12,"sec","day")),POS_Time,"&lt;="&amp;($D191-CONVERT(Variables!$C$12+1,"sec","day")),POS_Q,"&lt;="&amp;Variables!$C$11))</f>
        <v/>
      </c>
      <c r="P191" s="32" t="str">
        <f t="array" ref="P191">IF($B191="","",STDEV(IF(POS_Time&gt;=($C191+CONVERT(Variables!$C$12,"sec","day")),IF(POS_Time&lt;=($D191-CONVERT(Variables!$C$12+1,"sec","day")),IF(POS_Q&lt;=Variables!$C$11,POS_Lat)))))</f>
        <v/>
      </c>
      <c r="Q191" s="32" t="str">
        <f t="array" ref="Q191">IF($B191="","",STDEV(IF(POS_Time&gt;=($C191+CONVERT(Variables!$C$12,"sec","day")),IF(POS_Time&lt;=($D191-CONVERT(Variables!$C$12+1,"sec","day")),IF(POS_Q&lt;=Variables!$C$11,POS_Long)))))</f>
        <v/>
      </c>
      <c r="R191" s="32" t="str">
        <f t="array" ref="R191">IF($B191="","",STDEV(IF(POS_Time&gt;=($C191+CONVERT(Variables!$C$12,"sec","day")),IF(POS_Time&lt;=($D191-CONVERT(Variables!$C$12+1,"sec","day")),IF(POS_Q&lt;=Variables!$C$11,POS_elev)))))</f>
        <v/>
      </c>
      <c r="S191" s="30" t="str">
        <f>IF($B191="","",'Rover CSV Data'!K191)</f>
        <v/>
      </c>
      <c r="T191" s="26" t="str">
        <f>IF($B191="","",COUNTIFS(POS_Time,"&gt;="&amp;($C191+CONVERT(Variables!$C$12,"sec","day")),POS_Time,"&lt;="&amp;($D191-CONVERT(Variables!$C$12+1,"sec","day")),POS_Q,"&lt;="&amp;Variables!$C$11))</f>
        <v/>
      </c>
      <c r="U191" s="26" t="str">
        <f>IF($B191="","",IF(1&gt;Variables!$C$11,0,COUNTIFS(POS_Time,"&gt;="&amp;($C191+CONVERT(Variables!$C$12,"sec","day")),POS_Time,"&lt;="&amp;($D191-CONVERT(Variables!$C$12+1,"sec","day")),POS_Q,"=1")))</f>
        <v/>
      </c>
      <c r="V191" s="26" t="str">
        <f>IF($B191="","",IF(2&gt;Variables!$C$11,0,COUNTIFS(POS_Time,"&gt;="&amp;($C191+CONVERT(Variables!$C$12,"sec","day")),POS_Time,"&lt;="&amp;($D191-CONVERT(Variables!$C$12+1,"sec","day")),POS_Q,"=2")))</f>
        <v/>
      </c>
      <c r="W191" s="26" t="str">
        <f>IF($B191="","",IF(3&gt;Variables!$C$11,0,COUNTIFS(POS_Time,"&gt;="&amp;($C191+CONVERT(Variables!$C$12,"sec","day")),POS_Time,"&lt;="&amp;($D191-CONVERT(Variables!$C$12+1,"sec","day")),POS_Q,"=3")))</f>
        <v/>
      </c>
      <c r="X191" s="26" t="str">
        <f>IF($B191="","",IF(4&gt;Variables!$C$11,0,COUNTIFS(POS_Time,"&gt;="&amp;($C191+CONVERT(Variables!$C$12,"sec","day")),POS_Time,"&lt;="&amp;($D191-CONVERT(Variables!$C$12+1,"sec","day")),POS_Q,"=4")))</f>
        <v/>
      </c>
      <c r="Y191" s="26" t="str">
        <f>IF($B191="","",IF(5&gt;Variables!$C$11,0,COUNTIFS(POS_Time,"&gt;="&amp;($C191+CONVERT(Variables!$C$12,"sec","day")),POS_Time,"&lt;="&amp;($D191-CONVERT(Variables!$C$12+1,"sec","day")),POS_Q,"=5")))</f>
        <v/>
      </c>
      <c r="Z191" s="26" t="str">
        <f>IF($B191="","",IF(6&gt;Variables!$C$11,0,COUNTIFS(POS_Time,"&gt;="&amp;($C191+CONVERT(Variables!$C$12,"sec","day")),POS_Time,"&lt;="&amp;($D191-CONVERT(Variables!$C$12+1,"sec","day")),POS_Q,"=6")))</f>
        <v/>
      </c>
    </row>
    <row r="192" spans="1:26" x14ac:dyDescent="0.25">
      <c r="A192" s="2">
        <v>191</v>
      </c>
      <c r="B192" s="27" t="str">
        <f>IF((ROW()-1)&lt;=RoverStations,'Rover CSV Data'!B192,"")</f>
        <v/>
      </c>
      <c r="C192" s="28" t="str">
        <f>IF($B192="","",DATEVALUE(LEFT('Rover CSV Data'!F192,FIND(" ",'Rover CSV Data'!F192)-1))+TIMEVALUE(MID('Rover CSV Data'!F192,LEN('Rover CSV Data'!F192)-FIND(" ",'Rover CSV Data'!F192),(FIND(" UTC",'Rover CSV Data'!F192))-(LEN('Rover CSV Data'!F192)-FIND(" ",'Rover CSV Data'!F192)))))</f>
        <v/>
      </c>
      <c r="D192" s="28" t="str">
        <f>IF($B192="","",DATEVALUE(LEFT('Rover CSV Data'!G192,FIND(" ",'Rover CSV Data'!G192)-1))+TIMEVALUE(MID('Rover CSV Data'!G192,LEN('Rover CSV Data'!G192)-FIND(" ",'Rover CSV Data'!G192),(FIND(" UTC",'Rover CSV Data'!G192))-(LEN('Rover CSV Data'!G192)-FIND(" ",'Rover CSV Data'!G192)))))</f>
        <v/>
      </c>
      <c r="E192" s="29" t="str">
        <f t="shared" si="3"/>
        <v/>
      </c>
      <c r="F192" s="26" t="str">
        <f>IF($B192="","",'Rover CSV Data'!J192)</f>
        <v/>
      </c>
      <c r="G192" s="26" t="str">
        <f>IF($B192="","",AVERAGEIFS(POS_Lat,POS_Time,"&gt;="&amp;($C192+CONVERT(Variables!$C$12,"sec","day")),POS_Time,"&lt;="&amp;($D192-CONVERT(Variables!$C$12+1,"sec","day")),POS_Q,"&lt;="&amp;Variables!$C$11))</f>
        <v/>
      </c>
      <c r="H192" s="26" t="str">
        <f>IF($B192="","",AVERAGEIFS(POS_Long,POS_Time,"&gt;="&amp;($C192+CONVERT(Variables!$C$12,"sec","day")),POS_Time,"&lt;="&amp;($D192-CONVERT(Variables!$C$12+1,"sec","day")),POS_Q,"&lt;="&amp;Variables!$C$11))</f>
        <v/>
      </c>
      <c r="I192" s="30" t="str">
        <f>IF($B192="","",AVERAGEIFS(POS_elev,POS_Time,"&gt;="&amp;($C192+CONVERT(Variables!$C$12,"sec","day")),POS_Time,"&lt;="&amp;($D192-CONVERT(Variables!$C$12+1,"sec","day")),POS_Q,"&lt;="&amp;Variables!$C$11)-S192)</f>
        <v/>
      </c>
      <c r="J192" s="26" t="str">
        <f>IF($B192="","",'Rover CSV Data'!D192)</f>
        <v/>
      </c>
      <c r="K192" s="26" t="str">
        <f>IF($B192="","",'Rover CSV Data'!C192)</f>
        <v/>
      </c>
      <c r="L192" s="26" t="str">
        <f>IF($B192="","",'Rover CSV Data'!E192)</f>
        <v/>
      </c>
      <c r="M192" s="30" t="str">
        <f>IF($B192="","",AVERAGEIFS(sdn,POS_Time,"&gt;="&amp;($C192+CONVERT(Variables!$C$12,"sec","day")),POS_Time,"&lt;="&amp;($D192-CONVERT(Variables!$C$12+1,"sec","day")),POS_Q,"&lt;="&amp;Variables!$C$11))</f>
        <v/>
      </c>
      <c r="N192" s="31" t="str">
        <f>IF($B192="","",AVERAGEIFS(sde,POS_Time,"&gt;="&amp;($C192+CONVERT(Variables!$C$12,"sec","day")),POS_Time,"&lt;="&amp;($D192-CONVERT(Variables!$C$12+1,"sec","day")),POS_Q,"&lt;="&amp;Variables!$C$11))</f>
        <v/>
      </c>
      <c r="O192" s="31" t="str">
        <f>IF($B192="","",AVERAGEIFS(sdu,POS_Time,"&gt;="&amp;($C192+CONVERT(Variables!$C$12,"sec","day")),POS_Time,"&lt;="&amp;($D192-CONVERT(Variables!$C$12+1,"sec","day")),POS_Q,"&lt;="&amp;Variables!$C$11))</f>
        <v/>
      </c>
      <c r="P192" s="32" t="str">
        <f t="array" ref="P192">IF($B192="","",STDEV(IF(POS_Time&gt;=($C192+CONVERT(Variables!$C$12,"sec","day")),IF(POS_Time&lt;=($D192-CONVERT(Variables!$C$12+1,"sec","day")),IF(POS_Q&lt;=Variables!$C$11,POS_Lat)))))</f>
        <v/>
      </c>
      <c r="Q192" s="32" t="str">
        <f t="array" ref="Q192">IF($B192="","",STDEV(IF(POS_Time&gt;=($C192+CONVERT(Variables!$C$12,"sec","day")),IF(POS_Time&lt;=($D192-CONVERT(Variables!$C$12+1,"sec","day")),IF(POS_Q&lt;=Variables!$C$11,POS_Long)))))</f>
        <v/>
      </c>
      <c r="R192" s="32" t="str">
        <f t="array" ref="R192">IF($B192="","",STDEV(IF(POS_Time&gt;=($C192+CONVERT(Variables!$C$12,"sec","day")),IF(POS_Time&lt;=($D192-CONVERT(Variables!$C$12+1,"sec","day")),IF(POS_Q&lt;=Variables!$C$11,POS_elev)))))</f>
        <v/>
      </c>
      <c r="S192" s="30" t="str">
        <f>IF($B192="","",'Rover CSV Data'!K192)</f>
        <v/>
      </c>
      <c r="T192" s="26" t="str">
        <f>IF($B192="","",COUNTIFS(POS_Time,"&gt;="&amp;($C192+CONVERT(Variables!$C$12,"sec","day")),POS_Time,"&lt;="&amp;($D192-CONVERT(Variables!$C$12+1,"sec","day")),POS_Q,"&lt;="&amp;Variables!$C$11))</f>
        <v/>
      </c>
      <c r="U192" s="26" t="str">
        <f>IF($B192="","",IF(1&gt;Variables!$C$11,0,COUNTIFS(POS_Time,"&gt;="&amp;($C192+CONVERT(Variables!$C$12,"sec","day")),POS_Time,"&lt;="&amp;($D192-CONVERT(Variables!$C$12+1,"sec","day")),POS_Q,"=1")))</f>
        <v/>
      </c>
      <c r="V192" s="26" t="str">
        <f>IF($B192="","",IF(2&gt;Variables!$C$11,0,COUNTIFS(POS_Time,"&gt;="&amp;($C192+CONVERT(Variables!$C$12,"sec","day")),POS_Time,"&lt;="&amp;($D192-CONVERT(Variables!$C$12+1,"sec","day")),POS_Q,"=2")))</f>
        <v/>
      </c>
      <c r="W192" s="26" t="str">
        <f>IF($B192="","",IF(3&gt;Variables!$C$11,0,COUNTIFS(POS_Time,"&gt;="&amp;($C192+CONVERT(Variables!$C$12,"sec","day")),POS_Time,"&lt;="&amp;($D192-CONVERT(Variables!$C$12+1,"sec","day")),POS_Q,"=3")))</f>
        <v/>
      </c>
      <c r="X192" s="26" t="str">
        <f>IF($B192="","",IF(4&gt;Variables!$C$11,0,COUNTIFS(POS_Time,"&gt;="&amp;($C192+CONVERT(Variables!$C$12,"sec","day")),POS_Time,"&lt;="&amp;($D192-CONVERT(Variables!$C$12+1,"sec","day")),POS_Q,"=4")))</f>
        <v/>
      </c>
      <c r="Y192" s="26" t="str">
        <f>IF($B192="","",IF(5&gt;Variables!$C$11,0,COUNTIFS(POS_Time,"&gt;="&amp;($C192+CONVERT(Variables!$C$12,"sec","day")),POS_Time,"&lt;="&amp;($D192-CONVERT(Variables!$C$12+1,"sec","day")),POS_Q,"=5")))</f>
        <v/>
      </c>
      <c r="Z192" s="26" t="str">
        <f>IF($B192="","",IF(6&gt;Variables!$C$11,0,COUNTIFS(POS_Time,"&gt;="&amp;($C192+CONVERT(Variables!$C$12,"sec","day")),POS_Time,"&lt;="&amp;($D192-CONVERT(Variables!$C$12+1,"sec","day")),POS_Q,"=6")))</f>
        <v/>
      </c>
    </row>
    <row r="193" spans="1:26" x14ac:dyDescent="0.25">
      <c r="A193" s="2">
        <v>192</v>
      </c>
      <c r="B193" s="27" t="str">
        <f>IF((ROW()-1)&lt;=RoverStations,'Rover CSV Data'!B193,"")</f>
        <v/>
      </c>
      <c r="C193" s="28" t="str">
        <f>IF($B193="","",DATEVALUE(LEFT('Rover CSV Data'!F193,FIND(" ",'Rover CSV Data'!F193)-1))+TIMEVALUE(MID('Rover CSV Data'!F193,LEN('Rover CSV Data'!F193)-FIND(" ",'Rover CSV Data'!F193),(FIND(" UTC",'Rover CSV Data'!F193))-(LEN('Rover CSV Data'!F193)-FIND(" ",'Rover CSV Data'!F193)))))</f>
        <v/>
      </c>
      <c r="D193" s="28" t="str">
        <f>IF($B193="","",DATEVALUE(LEFT('Rover CSV Data'!G193,FIND(" ",'Rover CSV Data'!G193)-1))+TIMEVALUE(MID('Rover CSV Data'!G193,LEN('Rover CSV Data'!G193)-FIND(" ",'Rover CSV Data'!G193),(FIND(" UTC",'Rover CSV Data'!G193))-(LEN('Rover CSV Data'!G193)-FIND(" ",'Rover CSV Data'!G193)))))</f>
        <v/>
      </c>
      <c r="E193" s="29" t="str">
        <f t="shared" si="3"/>
        <v/>
      </c>
      <c r="F193" s="26" t="str">
        <f>IF($B193="","",'Rover CSV Data'!J193)</f>
        <v/>
      </c>
      <c r="G193" s="26" t="str">
        <f>IF($B193="","",AVERAGEIFS(POS_Lat,POS_Time,"&gt;="&amp;($C193+CONVERT(Variables!$C$12,"sec","day")),POS_Time,"&lt;="&amp;($D193-CONVERT(Variables!$C$12+1,"sec","day")),POS_Q,"&lt;="&amp;Variables!$C$11))</f>
        <v/>
      </c>
      <c r="H193" s="26" t="str">
        <f>IF($B193="","",AVERAGEIFS(POS_Long,POS_Time,"&gt;="&amp;($C193+CONVERT(Variables!$C$12,"sec","day")),POS_Time,"&lt;="&amp;($D193-CONVERT(Variables!$C$12+1,"sec","day")),POS_Q,"&lt;="&amp;Variables!$C$11))</f>
        <v/>
      </c>
      <c r="I193" s="30" t="str">
        <f>IF($B193="","",AVERAGEIFS(POS_elev,POS_Time,"&gt;="&amp;($C193+CONVERT(Variables!$C$12,"sec","day")),POS_Time,"&lt;="&amp;($D193-CONVERT(Variables!$C$12+1,"sec","day")),POS_Q,"&lt;="&amp;Variables!$C$11)-S193)</f>
        <v/>
      </c>
      <c r="J193" s="26" t="str">
        <f>IF($B193="","",'Rover CSV Data'!D193)</f>
        <v/>
      </c>
      <c r="K193" s="26" t="str">
        <f>IF($B193="","",'Rover CSV Data'!C193)</f>
        <v/>
      </c>
      <c r="L193" s="26" t="str">
        <f>IF($B193="","",'Rover CSV Data'!E193)</f>
        <v/>
      </c>
      <c r="M193" s="30" t="str">
        <f>IF($B193="","",AVERAGEIFS(sdn,POS_Time,"&gt;="&amp;($C193+CONVERT(Variables!$C$12,"sec","day")),POS_Time,"&lt;="&amp;($D193-CONVERT(Variables!$C$12+1,"sec","day")),POS_Q,"&lt;="&amp;Variables!$C$11))</f>
        <v/>
      </c>
      <c r="N193" s="31" t="str">
        <f>IF($B193="","",AVERAGEIFS(sde,POS_Time,"&gt;="&amp;($C193+CONVERT(Variables!$C$12,"sec","day")),POS_Time,"&lt;="&amp;($D193-CONVERT(Variables!$C$12+1,"sec","day")),POS_Q,"&lt;="&amp;Variables!$C$11))</f>
        <v/>
      </c>
      <c r="O193" s="31" t="str">
        <f>IF($B193="","",AVERAGEIFS(sdu,POS_Time,"&gt;="&amp;($C193+CONVERT(Variables!$C$12,"sec","day")),POS_Time,"&lt;="&amp;($D193-CONVERT(Variables!$C$12+1,"sec","day")),POS_Q,"&lt;="&amp;Variables!$C$11))</f>
        <v/>
      </c>
      <c r="P193" s="32" t="str">
        <f t="array" ref="P193">IF($B193="","",STDEV(IF(POS_Time&gt;=($C193+CONVERT(Variables!$C$12,"sec","day")),IF(POS_Time&lt;=($D193-CONVERT(Variables!$C$12+1,"sec","day")),IF(POS_Q&lt;=Variables!$C$11,POS_Lat)))))</f>
        <v/>
      </c>
      <c r="Q193" s="32" t="str">
        <f t="array" ref="Q193">IF($B193="","",STDEV(IF(POS_Time&gt;=($C193+CONVERT(Variables!$C$12,"sec","day")),IF(POS_Time&lt;=($D193-CONVERT(Variables!$C$12+1,"sec","day")),IF(POS_Q&lt;=Variables!$C$11,POS_Long)))))</f>
        <v/>
      </c>
      <c r="R193" s="32" t="str">
        <f t="array" ref="R193">IF($B193="","",STDEV(IF(POS_Time&gt;=($C193+CONVERT(Variables!$C$12,"sec","day")),IF(POS_Time&lt;=($D193-CONVERT(Variables!$C$12+1,"sec","day")),IF(POS_Q&lt;=Variables!$C$11,POS_elev)))))</f>
        <v/>
      </c>
      <c r="S193" s="30" t="str">
        <f>IF($B193="","",'Rover CSV Data'!K193)</f>
        <v/>
      </c>
      <c r="T193" s="26" t="str">
        <f>IF($B193="","",COUNTIFS(POS_Time,"&gt;="&amp;($C193+CONVERT(Variables!$C$12,"sec","day")),POS_Time,"&lt;="&amp;($D193-CONVERT(Variables!$C$12+1,"sec","day")),POS_Q,"&lt;="&amp;Variables!$C$11))</f>
        <v/>
      </c>
      <c r="U193" s="26" t="str">
        <f>IF($B193="","",IF(1&gt;Variables!$C$11,0,COUNTIFS(POS_Time,"&gt;="&amp;($C193+CONVERT(Variables!$C$12,"sec","day")),POS_Time,"&lt;="&amp;($D193-CONVERT(Variables!$C$12+1,"sec","day")),POS_Q,"=1")))</f>
        <v/>
      </c>
      <c r="V193" s="26" t="str">
        <f>IF($B193="","",IF(2&gt;Variables!$C$11,0,COUNTIFS(POS_Time,"&gt;="&amp;($C193+CONVERT(Variables!$C$12,"sec","day")),POS_Time,"&lt;="&amp;($D193-CONVERT(Variables!$C$12+1,"sec","day")),POS_Q,"=2")))</f>
        <v/>
      </c>
      <c r="W193" s="26" t="str">
        <f>IF($B193="","",IF(3&gt;Variables!$C$11,0,COUNTIFS(POS_Time,"&gt;="&amp;($C193+CONVERT(Variables!$C$12,"sec","day")),POS_Time,"&lt;="&amp;($D193-CONVERT(Variables!$C$12+1,"sec","day")),POS_Q,"=3")))</f>
        <v/>
      </c>
      <c r="X193" s="26" t="str">
        <f>IF($B193="","",IF(4&gt;Variables!$C$11,0,COUNTIFS(POS_Time,"&gt;="&amp;($C193+CONVERT(Variables!$C$12,"sec","day")),POS_Time,"&lt;="&amp;($D193-CONVERT(Variables!$C$12+1,"sec","day")),POS_Q,"=4")))</f>
        <v/>
      </c>
      <c r="Y193" s="26" t="str">
        <f>IF($B193="","",IF(5&gt;Variables!$C$11,0,COUNTIFS(POS_Time,"&gt;="&amp;($C193+CONVERT(Variables!$C$12,"sec","day")),POS_Time,"&lt;="&amp;($D193-CONVERT(Variables!$C$12+1,"sec","day")),POS_Q,"=5")))</f>
        <v/>
      </c>
      <c r="Z193" s="26" t="str">
        <f>IF($B193="","",IF(6&gt;Variables!$C$11,0,COUNTIFS(POS_Time,"&gt;="&amp;($C193+CONVERT(Variables!$C$12,"sec","day")),POS_Time,"&lt;="&amp;($D193-CONVERT(Variables!$C$12+1,"sec","day")),POS_Q,"=6")))</f>
        <v/>
      </c>
    </row>
    <row r="194" spans="1:26" x14ac:dyDescent="0.25">
      <c r="A194" s="2">
        <v>193</v>
      </c>
      <c r="B194" s="27" t="str">
        <f>IF((ROW()-1)&lt;=RoverStations,'Rover CSV Data'!B194,"")</f>
        <v/>
      </c>
      <c r="C194" s="28" t="str">
        <f>IF($B194="","",DATEVALUE(LEFT('Rover CSV Data'!F194,FIND(" ",'Rover CSV Data'!F194)-1))+TIMEVALUE(MID('Rover CSV Data'!F194,LEN('Rover CSV Data'!F194)-FIND(" ",'Rover CSV Data'!F194),(FIND(" UTC",'Rover CSV Data'!F194))-(LEN('Rover CSV Data'!F194)-FIND(" ",'Rover CSV Data'!F194)))))</f>
        <v/>
      </c>
      <c r="D194" s="28" t="str">
        <f>IF($B194="","",DATEVALUE(LEFT('Rover CSV Data'!G194,FIND(" ",'Rover CSV Data'!G194)-1))+TIMEVALUE(MID('Rover CSV Data'!G194,LEN('Rover CSV Data'!G194)-FIND(" ",'Rover CSV Data'!G194),(FIND(" UTC",'Rover CSV Data'!G194))-(LEN('Rover CSV Data'!G194)-FIND(" ",'Rover CSV Data'!G194)))))</f>
        <v/>
      </c>
      <c r="E194" s="29" t="str">
        <f t="shared" si="3"/>
        <v/>
      </c>
      <c r="F194" s="26" t="str">
        <f>IF($B194="","",'Rover CSV Data'!J194)</f>
        <v/>
      </c>
      <c r="G194" s="26" t="str">
        <f>IF($B194="","",AVERAGEIFS(POS_Lat,POS_Time,"&gt;="&amp;($C194+CONVERT(Variables!$C$12,"sec","day")),POS_Time,"&lt;="&amp;($D194-CONVERT(Variables!$C$12+1,"sec","day")),POS_Q,"&lt;="&amp;Variables!$C$11))</f>
        <v/>
      </c>
      <c r="H194" s="26" t="str">
        <f>IF($B194="","",AVERAGEIFS(POS_Long,POS_Time,"&gt;="&amp;($C194+CONVERT(Variables!$C$12,"sec","day")),POS_Time,"&lt;="&amp;($D194-CONVERT(Variables!$C$12+1,"sec","day")),POS_Q,"&lt;="&amp;Variables!$C$11))</f>
        <v/>
      </c>
      <c r="I194" s="30" t="str">
        <f>IF($B194="","",AVERAGEIFS(POS_elev,POS_Time,"&gt;="&amp;($C194+CONVERT(Variables!$C$12,"sec","day")),POS_Time,"&lt;="&amp;($D194-CONVERT(Variables!$C$12+1,"sec","day")),POS_Q,"&lt;="&amp;Variables!$C$11)-S194)</f>
        <v/>
      </c>
      <c r="J194" s="26" t="str">
        <f>IF($B194="","",'Rover CSV Data'!D194)</f>
        <v/>
      </c>
      <c r="K194" s="26" t="str">
        <f>IF($B194="","",'Rover CSV Data'!C194)</f>
        <v/>
      </c>
      <c r="L194" s="26" t="str">
        <f>IF($B194="","",'Rover CSV Data'!E194)</f>
        <v/>
      </c>
      <c r="M194" s="30" t="str">
        <f>IF($B194="","",AVERAGEIFS(sdn,POS_Time,"&gt;="&amp;($C194+CONVERT(Variables!$C$12,"sec","day")),POS_Time,"&lt;="&amp;($D194-CONVERT(Variables!$C$12+1,"sec","day")),POS_Q,"&lt;="&amp;Variables!$C$11))</f>
        <v/>
      </c>
      <c r="N194" s="31" t="str">
        <f>IF($B194="","",AVERAGEIFS(sde,POS_Time,"&gt;="&amp;($C194+CONVERT(Variables!$C$12,"sec","day")),POS_Time,"&lt;="&amp;($D194-CONVERT(Variables!$C$12+1,"sec","day")),POS_Q,"&lt;="&amp;Variables!$C$11))</f>
        <v/>
      </c>
      <c r="O194" s="31" t="str">
        <f>IF($B194="","",AVERAGEIFS(sdu,POS_Time,"&gt;="&amp;($C194+CONVERT(Variables!$C$12,"sec","day")),POS_Time,"&lt;="&amp;($D194-CONVERT(Variables!$C$12+1,"sec","day")),POS_Q,"&lt;="&amp;Variables!$C$11))</f>
        <v/>
      </c>
      <c r="P194" s="32" t="str">
        <f t="array" ref="P194">IF($B194="","",STDEV(IF(POS_Time&gt;=($C194+CONVERT(Variables!$C$12,"sec","day")),IF(POS_Time&lt;=($D194-CONVERT(Variables!$C$12+1,"sec","day")),IF(POS_Q&lt;=Variables!$C$11,POS_Lat)))))</f>
        <v/>
      </c>
      <c r="Q194" s="32" t="str">
        <f t="array" ref="Q194">IF($B194="","",STDEV(IF(POS_Time&gt;=($C194+CONVERT(Variables!$C$12,"sec","day")),IF(POS_Time&lt;=($D194-CONVERT(Variables!$C$12+1,"sec","day")),IF(POS_Q&lt;=Variables!$C$11,POS_Long)))))</f>
        <v/>
      </c>
      <c r="R194" s="32" t="str">
        <f t="array" ref="R194">IF($B194="","",STDEV(IF(POS_Time&gt;=($C194+CONVERT(Variables!$C$12,"sec","day")),IF(POS_Time&lt;=($D194-CONVERT(Variables!$C$12+1,"sec","day")),IF(POS_Q&lt;=Variables!$C$11,POS_elev)))))</f>
        <v/>
      </c>
      <c r="S194" s="30" t="str">
        <f>IF($B194="","",'Rover CSV Data'!K194)</f>
        <v/>
      </c>
      <c r="T194" s="26" t="str">
        <f>IF($B194="","",COUNTIFS(POS_Time,"&gt;="&amp;($C194+CONVERT(Variables!$C$12,"sec","day")),POS_Time,"&lt;="&amp;($D194-CONVERT(Variables!$C$12+1,"sec","day")),POS_Q,"&lt;="&amp;Variables!$C$11))</f>
        <v/>
      </c>
      <c r="U194" s="26" t="str">
        <f>IF($B194="","",IF(1&gt;Variables!$C$11,0,COUNTIFS(POS_Time,"&gt;="&amp;($C194+CONVERT(Variables!$C$12,"sec","day")),POS_Time,"&lt;="&amp;($D194-CONVERT(Variables!$C$12+1,"sec","day")),POS_Q,"=1")))</f>
        <v/>
      </c>
      <c r="V194" s="26" t="str">
        <f>IF($B194="","",IF(2&gt;Variables!$C$11,0,COUNTIFS(POS_Time,"&gt;="&amp;($C194+CONVERT(Variables!$C$12,"sec","day")),POS_Time,"&lt;="&amp;($D194-CONVERT(Variables!$C$12+1,"sec","day")),POS_Q,"=2")))</f>
        <v/>
      </c>
      <c r="W194" s="26" t="str">
        <f>IF($B194="","",IF(3&gt;Variables!$C$11,0,COUNTIFS(POS_Time,"&gt;="&amp;($C194+CONVERT(Variables!$C$12,"sec","day")),POS_Time,"&lt;="&amp;($D194-CONVERT(Variables!$C$12+1,"sec","day")),POS_Q,"=3")))</f>
        <v/>
      </c>
      <c r="X194" s="26" t="str">
        <f>IF($B194="","",IF(4&gt;Variables!$C$11,0,COUNTIFS(POS_Time,"&gt;="&amp;($C194+CONVERT(Variables!$C$12,"sec","day")),POS_Time,"&lt;="&amp;($D194-CONVERT(Variables!$C$12+1,"sec","day")),POS_Q,"=4")))</f>
        <v/>
      </c>
      <c r="Y194" s="26" t="str">
        <f>IF($B194="","",IF(5&gt;Variables!$C$11,0,COUNTIFS(POS_Time,"&gt;="&amp;($C194+CONVERT(Variables!$C$12,"sec","day")),POS_Time,"&lt;="&amp;($D194-CONVERT(Variables!$C$12+1,"sec","day")),POS_Q,"=5")))</f>
        <v/>
      </c>
      <c r="Z194" s="26" t="str">
        <f>IF($B194="","",IF(6&gt;Variables!$C$11,0,COUNTIFS(POS_Time,"&gt;="&amp;($C194+CONVERT(Variables!$C$12,"sec","day")),POS_Time,"&lt;="&amp;($D194-CONVERT(Variables!$C$12+1,"sec","day")),POS_Q,"=6")))</f>
        <v/>
      </c>
    </row>
    <row r="195" spans="1:26" x14ac:dyDescent="0.25">
      <c r="A195" s="2">
        <v>194</v>
      </c>
      <c r="B195" s="27" t="str">
        <f>IF((ROW()-1)&lt;=RoverStations,'Rover CSV Data'!B195,"")</f>
        <v/>
      </c>
      <c r="C195" s="28" t="str">
        <f>IF($B195="","",DATEVALUE(LEFT('Rover CSV Data'!F195,FIND(" ",'Rover CSV Data'!F195)-1))+TIMEVALUE(MID('Rover CSV Data'!F195,LEN('Rover CSV Data'!F195)-FIND(" ",'Rover CSV Data'!F195),(FIND(" UTC",'Rover CSV Data'!F195))-(LEN('Rover CSV Data'!F195)-FIND(" ",'Rover CSV Data'!F195)))))</f>
        <v/>
      </c>
      <c r="D195" s="28" t="str">
        <f>IF($B195="","",DATEVALUE(LEFT('Rover CSV Data'!G195,FIND(" ",'Rover CSV Data'!G195)-1))+TIMEVALUE(MID('Rover CSV Data'!G195,LEN('Rover CSV Data'!G195)-FIND(" ",'Rover CSV Data'!G195),(FIND(" UTC",'Rover CSV Data'!G195))-(LEN('Rover CSV Data'!G195)-FIND(" ",'Rover CSV Data'!G195)))))</f>
        <v/>
      </c>
      <c r="E195" s="29" t="str">
        <f t="shared" si="3"/>
        <v/>
      </c>
      <c r="F195" s="26" t="str">
        <f>IF($B195="","",'Rover CSV Data'!J195)</f>
        <v/>
      </c>
      <c r="G195" s="26" t="str">
        <f>IF($B195="","",AVERAGEIFS(POS_Lat,POS_Time,"&gt;="&amp;($C195+CONVERT(Variables!$C$12,"sec","day")),POS_Time,"&lt;="&amp;($D195-CONVERT(Variables!$C$12+1,"sec","day")),POS_Q,"&lt;="&amp;Variables!$C$11))</f>
        <v/>
      </c>
      <c r="H195" s="26" t="str">
        <f>IF($B195="","",AVERAGEIFS(POS_Long,POS_Time,"&gt;="&amp;($C195+CONVERT(Variables!$C$12,"sec","day")),POS_Time,"&lt;="&amp;($D195-CONVERT(Variables!$C$12+1,"sec","day")),POS_Q,"&lt;="&amp;Variables!$C$11))</f>
        <v/>
      </c>
      <c r="I195" s="30" t="str">
        <f>IF($B195="","",AVERAGEIFS(POS_elev,POS_Time,"&gt;="&amp;($C195+CONVERT(Variables!$C$12,"sec","day")),POS_Time,"&lt;="&amp;($D195-CONVERT(Variables!$C$12+1,"sec","day")),POS_Q,"&lt;="&amp;Variables!$C$11)-S195)</f>
        <v/>
      </c>
      <c r="J195" s="26" t="str">
        <f>IF($B195="","",'Rover CSV Data'!D195)</f>
        <v/>
      </c>
      <c r="K195" s="26" t="str">
        <f>IF($B195="","",'Rover CSV Data'!C195)</f>
        <v/>
      </c>
      <c r="L195" s="26" t="str">
        <f>IF($B195="","",'Rover CSV Data'!E195)</f>
        <v/>
      </c>
      <c r="M195" s="30" t="str">
        <f>IF($B195="","",AVERAGEIFS(sdn,POS_Time,"&gt;="&amp;($C195+CONVERT(Variables!$C$12,"sec","day")),POS_Time,"&lt;="&amp;($D195-CONVERT(Variables!$C$12+1,"sec","day")),POS_Q,"&lt;="&amp;Variables!$C$11))</f>
        <v/>
      </c>
      <c r="N195" s="31" t="str">
        <f>IF($B195="","",AVERAGEIFS(sde,POS_Time,"&gt;="&amp;($C195+CONVERT(Variables!$C$12,"sec","day")),POS_Time,"&lt;="&amp;($D195-CONVERT(Variables!$C$12+1,"sec","day")),POS_Q,"&lt;="&amp;Variables!$C$11))</f>
        <v/>
      </c>
      <c r="O195" s="31" t="str">
        <f>IF($B195="","",AVERAGEIFS(sdu,POS_Time,"&gt;="&amp;($C195+CONVERT(Variables!$C$12,"sec","day")),POS_Time,"&lt;="&amp;($D195-CONVERT(Variables!$C$12+1,"sec","day")),POS_Q,"&lt;="&amp;Variables!$C$11))</f>
        <v/>
      </c>
      <c r="P195" s="32" t="str">
        <f t="array" ref="P195">IF($B195="","",STDEV(IF(POS_Time&gt;=($C195+CONVERT(Variables!$C$12,"sec","day")),IF(POS_Time&lt;=($D195-CONVERT(Variables!$C$12+1,"sec","day")),IF(POS_Q&lt;=Variables!$C$11,POS_Lat)))))</f>
        <v/>
      </c>
      <c r="Q195" s="32" t="str">
        <f t="array" ref="Q195">IF($B195="","",STDEV(IF(POS_Time&gt;=($C195+CONVERT(Variables!$C$12,"sec","day")),IF(POS_Time&lt;=($D195-CONVERT(Variables!$C$12+1,"sec","day")),IF(POS_Q&lt;=Variables!$C$11,POS_Long)))))</f>
        <v/>
      </c>
      <c r="R195" s="32" t="str">
        <f t="array" ref="R195">IF($B195="","",STDEV(IF(POS_Time&gt;=($C195+CONVERT(Variables!$C$12,"sec","day")),IF(POS_Time&lt;=($D195-CONVERT(Variables!$C$12+1,"sec","day")),IF(POS_Q&lt;=Variables!$C$11,POS_elev)))))</f>
        <v/>
      </c>
      <c r="S195" s="30" t="str">
        <f>IF($B195="","",'Rover CSV Data'!K195)</f>
        <v/>
      </c>
      <c r="T195" s="26" t="str">
        <f>IF($B195="","",COUNTIFS(POS_Time,"&gt;="&amp;($C195+CONVERT(Variables!$C$12,"sec","day")),POS_Time,"&lt;="&amp;($D195-CONVERT(Variables!$C$12+1,"sec","day")),POS_Q,"&lt;="&amp;Variables!$C$11))</f>
        <v/>
      </c>
      <c r="U195" s="26" t="str">
        <f>IF($B195="","",IF(1&gt;Variables!$C$11,0,COUNTIFS(POS_Time,"&gt;="&amp;($C195+CONVERT(Variables!$C$12,"sec","day")),POS_Time,"&lt;="&amp;($D195-CONVERT(Variables!$C$12+1,"sec","day")),POS_Q,"=1")))</f>
        <v/>
      </c>
      <c r="V195" s="26" t="str">
        <f>IF($B195="","",IF(2&gt;Variables!$C$11,0,COUNTIFS(POS_Time,"&gt;="&amp;($C195+CONVERT(Variables!$C$12,"sec","day")),POS_Time,"&lt;="&amp;($D195-CONVERT(Variables!$C$12+1,"sec","day")),POS_Q,"=2")))</f>
        <v/>
      </c>
      <c r="W195" s="26" t="str">
        <f>IF($B195="","",IF(3&gt;Variables!$C$11,0,COUNTIFS(POS_Time,"&gt;="&amp;($C195+CONVERT(Variables!$C$12,"sec","day")),POS_Time,"&lt;="&amp;($D195-CONVERT(Variables!$C$12+1,"sec","day")),POS_Q,"=3")))</f>
        <v/>
      </c>
      <c r="X195" s="26" t="str">
        <f>IF($B195="","",IF(4&gt;Variables!$C$11,0,COUNTIFS(POS_Time,"&gt;="&amp;($C195+CONVERT(Variables!$C$12,"sec","day")),POS_Time,"&lt;="&amp;($D195-CONVERT(Variables!$C$12+1,"sec","day")),POS_Q,"=4")))</f>
        <v/>
      </c>
      <c r="Y195" s="26" t="str">
        <f>IF($B195="","",IF(5&gt;Variables!$C$11,0,COUNTIFS(POS_Time,"&gt;="&amp;($C195+CONVERT(Variables!$C$12,"sec","day")),POS_Time,"&lt;="&amp;($D195-CONVERT(Variables!$C$12+1,"sec","day")),POS_Q,"=5")))</f>
        <v/>
      </c>
      <c r="Z195" s="26" t="str">
        <f>IF($B195="","",IF(6&gt;Variables!$C$11,0,COUNTIFS(POS_Time,"&gt;="&amp;($C195+CONVERT(Variables!$C$12,"sec","day")),POS_Time,"&lt;="&amp;($D195-CONVERT(Variables!$C$12+1,"sec","day")),POS_Q,"=6")))</f>
        <v/>
      </c>
    </row>
    <row r="196" spans="1:26" x14ac:dyDescent="0.25">
      <c r="A196" s="2">
        <v>195</v>
      </c>
      <c r="B196" s="27" t="str">
        <f>IF((ROW()-1)&lt;=RoverStations,'Rover CSV Data'!B196,"")</f>
        <v/>
      </c>
      <c r="C196" s="28" t="str">
        <f>IF($B196="","",DATEVALUE(LEFT('Rover CSV Data'!F196,FIND(" ",'Rover CSV Data'!F196)-1))+TIMEVALUE(MID('Rover CSV Data'!F196,LEN('Rover CSV Data'!F196)-FIND(" ",'Rover CSV Data'!F196),(FIND(" UTC",'Rover CSV Data'!F196))-(LEN('Rover CSV Data'!F196)-FIND(" ",'Rover CSV Data'!F196)))))</f>
        <v/>
      </c>
      <c r="D196" s="28" t="str">
        <f>IF($B196="","",DATEVALUE(LEFT('Rover CSV Data'!G196,FIND(" ",'Rover CSV Data'!G196)-1))+TIMEVALUE(MID('Rover CSV Data'!G196,LEN('Rover CSV Data'!G196)-FIND(" ",'Rover CSV Data'!G196),(FIND(" UTC",'Rover CSV Data'!G196))-(LEN('Rover CSV Data'!G196)-FIND(" ",'Rover CSV Data'!G196)))))</f>
        <v/>
      </c>
      <c r="E196" s="29" t="str">
        <f t="shared" si="3"/>
        <v/>
      </c>
      <c r="F196" s="26" t="str">
        <f>IF($B196="","",'Rover CSV Data'!J196)</f>
        <v/>
      </c>
      <c r="G196" s="26" t="str">
        <f>IF($B196="","",AVERAGEIFS(POS_Lat,POS_Time,"&gt;="&amp;($C196+CONVERT(Variables!$C$12,"sec","day")),POS_Time,"&lt;="&amp;($D196-CONVERT(Variables!$C$12+1,"sec","day")),POS_Q,"&lt;="&amp;Variables!$C$11))</f>
        <v/>
      </c>
      <c r="H196" s="26" t="str">
        <f>IF($B196="","",AVERAGEIFS(POS_Long,POS_Time,"&gt;="&amp;($C196+CONVERT(Variables!$C$12,"sec","day")),POS_Time,"&lt;="&amp;($D196-CONVERT(Variables!$C$12+1,"sec","day")),POS_Q,"&lt;="&amp;Variables!$C$11))</f>
        <v/>
      </c>
      <c r="I196" s="30" t="str">
        <f>IF($B196="","",AVERAGEIFS(POS_elev,POS_Time,"&gt;="&amp;($C196+CONVERT(Variables!$C$12,"sec","day")),POS_Time,"&lt;="&amp;($D196-CONVERT(Variables!$C$12+1,"sec","day")),POS_Q,"&lt;="&amp;Variables!$C$11)-S196)</f>
        <v/>
      </c>
      <c r="J196" s="26" t="str">
        <f>IF($B196="","",'Rover CSV Data'!D196)</f>
        <v/>
      </c>
      <c r="K196" s="26" t="str">
        <f>IF($B196="","",'Rover CSV Data'!C196)</f>
        <v/>
      </c>
      <c r="L196" s="26" t="str">
        <f>IF($B196="","",'Rover CSV Data'!E196)</f>
        <v/>
      </c>
      <c r="M196" s="30" t="str">
        <f>IF($B196="","",AVERAGEIFS(sdn,POS_Time,"&gt;="&amp;($C196+CONVERT(Variables!$C$12,"sec","day")),POS_Time,"&lt;="&amp;($D196-CONVERT(Variables!$C$12+1,"sec","day")),POS_Q,"&lt;="&amp;Variables!$C$11))</f>
        <v/>
      </c>
      <c r="N196" s="31" t="str">
        <f>IF($B196="","",AVERAGEIFS(sde,POS_Time,"&gt;="&amp;($C196+CONVERT(Variables!$C$12,"sec","day")),POS_Time,"&lt;="&amp;($D196-CONVERT(Variables!$C$12+1,"sec","day")),POS_Q,"&lt;="&amp;Variables!$C$11))</f>
        <v/>
      </c>
      <c r="O196" s="31" t="str">
        <f>IF($B196="","",AVERAGEIFS(sdu,POS_Time,"&gt;="&amp;($C196+CONVERT(Variables!$C$12,"sec","day")),POS_Time,"&lt;="&amp;($D196-CONVERT(Variables!$C$12+1,"sec","day")),POS_Q,"&lt;="&amp;Variables!$C$11))</f>
        <v/>
      </c>
      <c r="P196" s="32" t="str">
        <f t="array" ref="P196">IF($B196="","",STDEV(IF(POS_Time&gt;=($C196+CONVERT(Variables!$C$12,"sec","day")),IF(POS_Time&lt;=($D196-CONVERT(Variables!$C$12+1,"sec","day")),IF(POS_Q&lt;=Variables!$C$11,POS_Lat)))))</f>
        <v/>
      </c>
      <c r="Q196" s="32" t="str">
        <f t="array" ref="Q196">IF($B196="","",STDEV(IF(POS_Time&gt;=($C196+CONVERT(Variables!$C$12,"sec","day")),IF(POS_Time&lt;=($D196-CONVERT(Variables!$C$12+1,"sec","day")),IF(POS_Q&lt;=Variables!$C$11,POS_Long)))))</f>
        <v/>
      </c>
      <c r="R196" s="32" t="str">
        <f t="array" ref="R196">IF($B196="","",STDEV(IF(POS_Time&gt;=($C196+CONVERT(Variables!$C$12,"sec","day")),IF(POS_Time&lt;=($D196-CONVERT(Variables!$C$12+1,"sec","day")),IF(POS_Q&lt;=Variables!$C$11,POS_elev)))))</f>
        <v/>
      </c>
      <c r="S196" s="30" t="str">
        <f>IF($B196="","",'Rover CSV Data'!K196)</f>
        <v/>
      </c>
      <c r="T196" s="26" t="str">
        <f>IF($B196="","",COUNTIFS(POS_Time,"&gt;="&amp;($C196+CONVERT(Variables!$C$12,"sec","day")),POS_Time,"&lt;="&amp;($D196-CONVERT(Variables!$C$12+1,"sec","day")),POS_Q,"&lt;="&amp;Variables!$C$11))</f>
        <v/>
      </c>
      <c r="U196" s="26" t="str">
        <f>IF($B196="","",IF(1&gt;Variables!$C$11,0,COUNTIFS(POS_Time,"&gt;="&amp;($C196+CONVERT(Variables!$C$12,"sec","day")),POS_Time,"&lt;="&amp;($D196-CONVERT(Variables!$C$12+1,"sec","day")),POS_Q,"=1")))</f>
        <v/>
      </c>
      <c r="V196" s="26" t="str">
        <f>IF($B196="","",IF(2&gt;Variables!$C$11,0,COUNTIFS(POS_Time,"&gt;="&amp;($C196+CONVERT(Variables!$C$12,"sec","day")),POS_Time,"&lt;="&amp;($D196-CONVERT(Variables!$C$12+1,"sec","day")),POS_Q,"=2")))</f>
        <v/>
      </c>
      <c r="W196" s="26" t="str">
        <f>IF($B196="","",IF(3&gt;Variables!$C$11,0,COUNTIFS(POS_Time,"&gt;="&amp;($C196+CONVERT(Variables!$C$12,"sec","day")),POS_Time,"&lt;="&amp;($D196-CONVERT(Variables!$C$12+1,"sec","day")),POS_Q,"=3")))</f>
        <v/>
      </c>
      <c r="X196" s="26" t="str">
        <f>IF($B196="","",IF(4&gt;Variables!$C$11,0,COUNTIFS(POS_Time,"&gt;="&amp;($C196+CONVERT(Variables!$C$12,"sec","day")),POS_Time,"&lt;="&amp;($D196-CONVERT(Variables!$C$12+1,"sec","day")),POS_Q,"=4")))</f>
        <v/>
      </c>
      <c r="Y196" s="26" t="str">
        <f>IF($B196="","",IF(5&gt;Variables!$C$11,0,COUNTIFS(POS_Time,"&gt;="&amp;($C196+CONVERT(Variables!$C$12,"sec","day")),POS_Time,"&lt;="&amp;($D196-CONVERT(Variables!$C$12+1,"sec","day")),POS_Q,"=5")))</f>
        <v/>
      </c>
      <c r="Z196" s="26" t="str">
        <f>IF($B196="","",IF(6&gt;Variables!$C$11,0,COUNTIFS(POS_Time,"&gt;="&amp;($C196+CONVERT(Variables!$C$12,"sec","day")),POS_Time,"&lt;="&amp;($D196-CONVERT(Variables!$C$12+1,"sec","day")),POS_Q,"=6")))</f>
        <v/>
      </c>
    </row>
    <row r="197" spans="1:26" x14ac:dyDescent="0.25">
      <c r="A197" s="2">
        <v>196</v>
      </c>
      <c r="B197" s="27" t="str">
        <f>IF((ROW()-1)&lt;=RoverStations,'Rover CSV Data'!B197,"")</f>
        <v/>
      </c>
      <c r="C197" s="28" t="str">
        <f>IF($B197="","",DATEVALUE(LEFT('Rover CSV Data'!F197,FIND(" ",'Rover CSV Data'!F197)-1))+TIMEVALUE(MID('Rover CSV Data'!F197,LEN('Rover CSV Data'!F197)-FIND(" ",'Rover CSV Data'!F197),(FIND(" UTC",'Rover CSV Data'!F197))-(LEN('Rover CSV Data'!F197)-FIND(" ",'Rover CSV Data'!F197)))))</f>
        <v/>
      </c>
      <c r="D197" s="28" t="str">
        <f>IF($B197="","",DATEVALUE(LEFT('Rover CSV Data'!G197,FIND(" ",'Rover CSV Data'!G197)-1))+TIMEVALUE(MID('Rover CSV Data'!G197,LEN('Rover CSV Data'!G197)-FIND(" ",'Rover CSV Data'!G197),(FIND(" UTC",'Rover CSV Data'!G197))-(LEN('Rover CSV Data'!G197)-FIND(" ",'Rover CSV Data'!G197)))))</f>
        <v/>
      </c>
      <c r="E197" s="29" t="str">
        <f t="shared" si="3"/>
        <v/>
      </c>
      <c r="F197" s="26" t="str">
        <f>IF($B197="","",'Rover CSV Data'!J197)</f>
        <v/>
      </c>
      <c r="G197" s="26" t="str">
        <f>IF($B197="","",AVERAGEIFS(POS_Lat,POS_Time,"&gt;="&amp;($C197+CONVERT(Variables!$C$12,"sec","day")),POS_Time,"&lt;="&amp;($D197-CONVERT(Variables!$C$12+1,"sec","day")),POS_Q,"&lt;="&amp;Variables!$C$11))</f>
        <v/>
      </c>
      <c r="H197" s="26" t="str">
        <f>IF($B197="","",AVERAGEIFS(POS_Long,POS_Time,"&gt;="&amp;($C197+CONVERT(Variables!$C$12,"sec","day")),POS_Time,"&lt;="&amp;($D197-CONVERT(Variables!$C$12+1,"sec","day")),POS_Q,"&lt;="&amp;Variables!$C$11))</f>
        <v/>
      </c>
      <c r="I197" s="30" t="str">
        <f>IF($B197="","",AVERAGEIFS(POS_elev,POS_Time,"&gt;="&amp;($C197+CONVERT(Variables!$C$12,"sec","day")),POS_Time,"&lt;="&amp;($D197-CONVERT(Variables!$C$12+1,"sec","day")),POS_Q,"&lt;="&amp;Variables!$C$11)-S197)</f>
        <v/>
      </c>
      <c r="J197" s="26" t="str">
        <f>IF($B197="","",'Rover CSV Data'!D197)</f>
        <v/>
      </c>
      <c r="K197" s="26" t="str">
        <f>IF($B197="","",'Rover CSV Data'!C197)</f>
        <v/>
      </c>
      <c r="L197" s="26" t="str">
        <f>IF($B197="","",'Rover CSV Data'!E197)</f>
        <v/>
      </c>
      <c r="M197" s="30" t="str">
        <f>IF($B197="","",AVERAGEIFS(sdn,POS_Time,"&gt;="&amp;($C197+CONVERT(Variables!$C$12,"sec","day")),POS_Time,"&lt;="&amp;($D197-CONVERT(Variables!$C$12+1,"sec","day")),POS_Q,"&lt;="&amp;Variables!$C$11))</f>
        <v/>
      </c>
      <c r="N197" s="31" t="str">
        <f>IF($B197="","",AVERAGEIFS(sde,POS_Time,"&gt;="&amp;($C197+CONVERT(Variables!$C$12,"sec","day")),POS_Time,"&lt;="&amp;($D197-CONVERT(Variables!$C$12+1,"sec","day")),POS_Q,"&lt;="&amp;Variables!$C$11))</f>
        <v/>
      </c>
      <c r="O197" s="31" t="str">
        <f>IF($B197="","",AVERAGEIFS(sdu,POS_Time,"&gt;="&amp;($C197+CONVERT(Variables!$C$12,"sec","day")),POS_Time,"&lt;="&amp;($D197-CONVERT(Variables!$C$12+1,"sec","day")),POS_Q,"&lt;="&amp;Variables!$C$11))</f>
        <v/>
      </c>
      <c r="P197" s="32" t="str">
        <f t="array" ref="P197">IF($B197="","",STDEV(IF(POS_Time&gt;=($C197+CONVERT(Variables!$C$12,"sec","day")),IF(POS_Time&lt;=($D197-CONVERT(Variables!$C$12+1,"sec","day")),IF(POS_Q&lt;=Variables!$C$11,POS_Lat)))))</f>
        <v/>
      </c>
      <c r="Q197" s="32" t="str">
        <f t="array" ref="Q197">IF($B197="","",STDEV(IF(POS_Time&gt;=($C197+CONVERT(Variables!$C$12,"sec","day")),IF(POS_Time&lt;=($D197-CONVERT(Variables!$C$12+1,"sec","day")),IF(POS_Q&lt;=Variables!$C$11,POS_Long)))))</f>
        <v/>
      </c>
      <c r="R197" s="32" t="str">
        <f t="array" ref="R197">IF($B197="","",STDEV(IF(POS_Time&gt;=($C197+CONVERT(Variables!$C$12,"sec","day")),IF(POS_Time&lt;=($D197-CONVERT(Variables!$C$12+1,"sec","day")),IF(POS_Q&lt;=Variables!$C$11,POS_elev)))))</f>
        <v/>
      </c>
      <c r="S197" s="30" t="str">
        <f>IF($B197="","",'Rover CSV Data'!K197)</f>
        <v/>
      </c>
      <c r="T197" s="26" t="str">
        <f>IF($B197="","",COUNTIFS(POS_Time,"&gt;="&amp;($C197+CONVERT(Variables!$C$12,"sec","day")),POS_Time,"&lt;="&amp;($D197-CONVERT(Variables!$C$12+1,"sec","day")),POS_Q,"&lt;="&amp;Variables!$C$11))</f>
        <v/>
      </c>
      <c r="U197" s="26" t="str">
        <f>IF($B197="","",IF(1&gt;Variables!$C$11,0,COUNTIFS(POS_Time,"&gt;="&amp;($C197+CONVERT(Variables!$C$12,"sec","day")),POS_Time,"&lt;="&amp;($D197-CONVERT(Variables!$C$12+1,"sec","day")),POS_Q,"=1")))</f>
        <v/>
      </c>
      <c r="V197" s="26" t="str">
        <f>IF($B197="","",IF(2&gt;Variables!$C$11,0,COUNTIFS(POS_Time,"&gt;="&amp;($C197+CONVERT(Variables!$C$12,"sec","day")),POS_Time,"&lt;="&amp;($D197-CONVERT(Variables!$C$12+1,"sec","day")),POS_Q,"=2")))</f>
        <v/>
      </c>
      <c r="W197" s="26" t="str">
        <f>IF($B197="","",IF(3&gt;Variables!$C$11,0,COUNTIFS(POS_Time,"&gt;="&amp;($C197+CONVERT(Variables!$C$12,"sec","day")),POS_Time,"&lt;="&amp;($D197-CONVERT(Variables!$C$12+1,"sec","day")),POS_Q,"=3")))</f>
        <v/>
      </c>
      <c r="X197" s="26" t="str">
        <f>IF($B197="","",IF(4&gt;Variables!$C$11,0,COUNTIFS(POS_Time,"&gt;="&amp;($C197+CONVERT(Variables!$C$12,"sec","day")),POS_Time,"&lt;="&amp;($D197-CONVERT(Variables!$C$12+1,"sec","day")),POS_Q,"=4")))</f>
        <v/>
      </c>
      <c r="Y197" s="26" t="str">
        <f>IF($B197="","",IF(5&gt;Variables!$C$11,0,COUNTIFS(POS_Time,"&gt;="&amp;($C197+CONVERT(Variables!$C$12,"sec","day")),POS_Time,"&lt;="&amp;($D197-CONVERT(Variables!$C$12+1,"sec","day")),POS_Q,"=5")))</f>
        <v/>
      </c>
      <c r="Z197" s="26" t="str">
        <f>IF($B197="","",IF(6&gt;Variables!$C$11,0,COUNTIFS(POS_Time,"&gt;="&amp;($C197+CONVERT(Variables!$C$12,"sec","day")),POS_Time,"&lt;="&amp;($D197-CONVERT(Variables!$C$12+1,"sec","day")),POS_Q,"=6")))</f>
        <v/>
      </c>
    </row>
    <row r="198" spans="1:26" x14ac:dyDescent="0.25">
      <c r="A198" s="2">
        <v>197</v>
      </c>
      <c r="B198" s="27" t="str">
        <f>IF((ROW()-1)&lt;=RoverStations,'Rover CSV Data'!B198,"")</f>
        <v/>
      </c>
      <c r="C198" s="28" t="str">
        <f>IF($B198="","",DATEVALUE(LEFT('Rover CSV Data'!F198,FIND(" ",'Rover CSV Data'!F198)-1))+TIMEVALUE(MID('Rover CSV Data'!F198,LEN('Rover CSV Data'!F198)-FIND(" ",'Rover CSV Data'!F198),(FIND(" UTC",'Rover CSV Data'!F198))-(LEN('Rover CSV Data'!F198)-FIND(" ",'Rover CSV Data'!F198)))))</f>
        <v/>
      </c>
      <c r="D198" s="28" t="str">
        <f>IF($B198="","",DATEVALUE(LEFT('Rover CSV Data'!G198,FIND(" ",'Rover CSV Data'!G198)-1))+TIMEVALUE(MID('Rover CSV Data'!G198,LEN('Rover CSV Data'!G198)-FIND(" ",'Rover CSV Data'!G198),(FIND(" UTC",'Rover CSV Data'!G198))-(LEN('Rover CSV Data'!G198)-FIND(" ",'Rover CSV Data'!G198)))))</f>
        <v/>
      </c>
      <c r="E198" s="29" t="str">
        <f t="shared" si="3"/>
        <v/>
      </c>
      <c r="F198" s="26" t="str">
        <f>IF($B198="","",'Rover CSV Data'!J198)</f>
        <v/>
      </c>
      <c r="G198" s="26" t="str">
        <f>IF($B198="","",AVERAGEIFS(POS_Lat,POS_Time,"&gt;="&amp;($C198+CONVERT(Variables!$C$12,"sec","day")),POS_Time,"&lt;="&amp;($D198-CONVERT(Variables!$C$12+1,"sec","day")),POS_Q,"&lt;="&amp;Variables!$C$11))</f>
        <v/>
      </c>
      <c r="H198" s="26" t="str">
        <f>IF($B198="","",AVERAGEIFS(POS_Long,POS_Time,"&gt;="&amp;($C198+CONVERT(Variables!$C$12,"sec","day")),POS_Time,"&lt;="&amp;($D198-CONVERT(Variables!$C$12+1,"sec","day")),POS_Q,"&lt;="&amp;Variables!$C$11))</f>
        <v/>
      </c>
      <c r="I198" s="30" t="str">
        <f>IF($B198="","",AVERAGEIFS(POS_elev,POS_Time,"&gt;="&amp;($C198+CONVERT(Variables!$C$12,"sec","day")),POS_Time,"&lt;="&amp;($D198-CONVERT(Variables!$C$12+1,"sec","day")),POS_Q,"&lt;="&amp;Variables!$C$11)-S198)</f>
        <v/>
      </c>
      <c r="J198" s="26" t="str">
        <f>IF($B198="","",'Rover CSV Data'!D198)</f>
        <v/>
      </c>
      <c r="K198" s="26" t="str">
        <f>IF($B198="","",'Rover CSV Data'!C198)</f>
        <v/>
      </c>
      <c r="L198" s="26" t="str">
        <f>IF($B198="","",'Rover CSV Data'!E198)</f>
        <v/>
      </c>
      <c r="M198" s="30" t="str">
        <f>IF($B198="","",AVERAGEIFS(sdn,POS_Time,"&gt;="&amp;($C198+CONVERT(Variables!$C$12,"sec","day")),POS_Time,"&lt;="&amp;($D198-CONVERT(Variables!$C$12+1,"sec","day")),POS_Q,"&lt;="&amp;Variables!$C$11))</f>
        <v/>
      </c>
      <c r="N198" s="31" t="str">
        <f>IF($B198="","",AVERAGEIFS(sde,POS_Time,"&gt;="&amp;($C198+CONVERT(Variables!$C$12,"sec","day")),POS_Time,"&lt;="&amp;($D198-CONVERT(Variables!$C$12+1,"sec","day")),POS_Q,"&lt;="&amp;Variables!$C$11))</f>
        <v/>
      </c>
      <c r="O198" s="31" t="str">
        <f>IF($B198="","",AVERAGEIFS(sdu,POS_Time,"&gt;="&amp;($C198+CONVERT(Variables!$C$12,"sec","day")),POS_Time,"&lt;="&amp;($D198-CONVERT(Variables!$C$12+1,"sec","day")),POS_Q,"&lt;="&amp;Variables!$C$11))</f>
        <v/>
      </c>
      <c r="P198" s="32" t="str">
        <f t="array" ref="P198">IF($B198="","",STDEV(IF(POS_Time&gt;=($C198+CONVERT(Variables!$C$12,"sec","day")),IF(POS_Time&lt;=($D198-CONVERT(Variables!$C$12+1,"sec","day")),IF(POS_Q&lt;=Variables!$C$11,POS_Lat)))))</f>
        <v/>
      </c>
      <c r="Q198" s="32" t="str">
        <f t="array" ref="Q198">IF($B198="","",STDEV(IF(POS_Time&gt;=($C198+CONVERT(Variables!$C$12,"sec","day")),IF(POS_Time&lt;=($D198-CONVERT(Variables!$C$12+1,"sec","day")),IF(POS_Q&lt;=Variables!$C$11,POS_Long)))))</f>
        <v/>
      </c>
      <c r="R198" s="32" t="str">
        <f t="array" ref="R198">IF($B198="","",STDEV(IF(POS_Time&gt;=($C198+CONVERT(Variables!$C$12,"sec","day")),IF(POS_Time&lt;=($D198-CONVERT(Variables!$C$12+1,"sec","day")),IF(POS_Q&lt;=Variables!$C$11,POS_elev)))))</f>
        <v/>
      </c>
      <c r="S198" s="30" t="str">
        <f>IF($B198="","",'Rover CSV Data'!K198)</f>
        <v/>
      </c>
      <c r="T198" s="26" t="str">
        <f>IF($B198="","",COUNTIFS(POS_Time,"&gt;="&amp;($C198+CONVERT(Variables!$C$12,"sec","day")),POS_Time,"&lt;="&amp;($D198-CONVERT(Variables!$C$12+1,"sec","day")),POS_Q,"&lt;="&amp;Variables!$C$11))</f>
        <v/>
      </c>
      <c r="U198" s="26" t="str">
        <f>IF($B198="","",IF(1&gt;Variables!$C$11,0,COUNTIFS(POS_Time,"&gt;="&amp;($C198+CONVERT(Variables!$C$12,"sec","day")),POS_Time,"&lt;="&amp;($D198-CONVERT(Variables!$C$12+1,"sec","day")),POS_Q,"=1")))</f>
        <v/>
      </c>
      <c r="V198" s="26" t="str">
        <f>IF($B198="","",IF(2&gt;Variables!$C$11,0,COUNTIFS(POS_Time,"&gt;="&amp;($C198+CONVERT(Variables!$C$12,"sec","day")),POS_Time,"&lt;="&amp;($D198-CONVERT(Variables!$C$12+1,"sec","day")),POS_Q,"=2")))</f>
        <v/>
      </c>
      <c r="W198" s="26" t="str">
        <f>IF($B198="","",IF(3&gt;Variables!$C$11,0,COUNTIFS(POS_Time,"&gt;="&amp;($C198+CONVERT(Variables!$C$12,"sec","day")),POS_Time,"&lt;="&amp;($D198-CONVERT(Variables!$C$12+1,"sec","day")),POS_Q,"=3")))</f>
        <v/>
      </c>
      <c r="X198" s="26" t="str">
        <f>IF($B198="","",IF(4&gt;Variables!$C$11,0,COUNTIFS(POS_Time,"&gt;="&amp;($C198+CONVERT(Variables!$C$12,"sec","day")),POS_Time,"&lt;="&amp;($D198-CONVERT(Variables!$C$12+1,"sec","day")),POS_Q,"=4")))</f>
        <v/>
      </c>
      <c r="Y198" s="26" t="str">
        <f>IF($B198="","",IF(5&gt;Variables!$C$11,0,COUNTIFS(POS_Time,"&gt;="&amp;($C198+CONVERT(Variables!$C$12,"sec","day")),POS_Time,"&lt;="&amp;($D198-CONVERT(Variables!$C$12+1,"sec","day")),POS_Q,"=5")))</f>
        <v/>
      </c>
      <c r="Z198" s="26" t="str">
        <f>IF($B198="","",IF(6&gt;Variables!$C$11,0,COUNTIFS(POS_Time,"&gt;="&amp;($C198+CONVERT(Variables!$C$12,"sec","day")),POS_Time,"&lt;="&amp;($D198-CONVERT(Variables!$C$12+1,"sec","day")),POS_Q,"=6")))</f>
        <v/>
      </c>
    </row>
    <row r="199" spans="1:26" x14ac:dyDescent="0.25">
      <c r="A199" s="2">
        <v>198</v>
      </c>
      <c r="B199" s="27" t="str">
        <f>IF((ROW()-1)&lt;=RoverStations,'Rover CSV Data'!B199,"")</f>
        <v/>
      </c>
      <c r="C199" s="28" t="str">
        <f>IF($B199="","",DATEVALUE(LEFT('Rover CSV Data'!F199,FIND(" ",'Rover CSV Data'!F199)-1))+TIMEVALUE(MID('Rover CSV Data'!F199,LEN('Rover CSV Data'!F199)-FIND(" ",'Rover CSV Data'!F199),(FIND(" UTC",'Rover CSV Data'!F199))-(LEN('Rover CSV Data'!F199)-FIND(" ",'Rover CSV Data'!F199)))))</f>
        <v/>
      </c>
      <c r="D199" s="28" t="str">
        <f>IF($B199="","",DATEVALUE(LEFT('Rover CSV Data'!G199,FIND(" ",'Rover CSV Data'!G199)-1))+TIMEVALUE(MID('Rover CSV Data'!G199,LEN('Rover CSV Data'!G199)-FIND(" ",'Rover CSV Data'!G199),(FIND(" UTC",'Rover CSV Data'!G199))-(LEN('Rover CSV Data'!G199)-FIND(" ",'Rover CSV Data'!G199)))))</f>
        <v/>
      </c>
      <c r="E199" s="29" t="str">
        <f t="shared" si="3"/>
        <v/>
      </c>
      <c r="F199" s="26" t="str">
        <f>IF($B199="","",'Rover CSV Data'!J199)</f>
        <v/>
      </c>
      <c r="G199" s="26" t="str">
        <f>IF($B199="","",AVERAGEIFS(POS_Lat,POS_Time,"&gt;="&amp;($C199+CONVERT(Variables!$C$12,"sec","day")),POS_Time,"&lt;="&amp;($D199-CONVERT(Variables!$C$12+1,"sec","day")),POS_Q,"&lt;="&amp;Variables!$C$11))</f>
        <v/>
      </c>
      <c r="H199" s="26" t="str">
        <f>IF($B199="","",AVERAGEIFS(POS_Long,POS_Time,"&gt;="&amp;($C199+CONVERT(Variables!$C$12,"sec","day")),POS_Time,"&lt;="&amp;($D199-CONVERT(Variables!$C$12+1,"sec","day")),POS_Q,"&lt;="&amp;Variables!$C$11))</f>
        <v/>
      </c>
      <c r="I199" s="30" t="str">
        <f>IF($B199="","",AVERAGEIFS(POS_elev,POS_Time,"&gt;="&amp;($C199+CONVERT(Variables!$C$12,"sec","day")),POS_Time,"&lt;="&amp;($D199-CONVERT(Variables!$C$12+1,"sec","day")),POS_Q,"&lt;="&amp;Variables!$C$11)-S199)</f>
        <v/>
      </c>
      <c r="J199" s="26" t="str">
        <f>IF($B199="","",'Rover CSV Data'!D199)</f>
        <v/>
      </c>
      <c r="K199" s="26" t="str">
        <f>IF($B199="","",'Rover CSV Data'!C199)</f>
        <v/>
      </c>
      <c r="L199" s="26" t="str">
        <f>IF($B199="","",'Rover CSV Data'!E199)</f>
        <v/>
      </c>
      <c r="M199" s="30" t="str">
        <f>IF($B199="","",AVERAGEIFS(sdn,POS_Time,"&gt;="&amp;($C199+CONVERT(Variables!$C$12,"sec","day")),POS_Time,"&lt;="&amp;($D199-CONVERT(Variables!$C$12+1,"sec","day")),POS_Q,"&lt;="&amp;Variables!$C$11))</f>
        <v/>
      </c>
      <c r="N199" s="31" t="str">
        <f>IF($B199="","",AVERAGEIFS(sde,POS_Time,"&gt;="&amp;($C199+CONVERT(Variables!$C$12,"sec","day")),POS_Time,"&lt;="&amp;($D199-CONVERT(Variables!$C$12+1,"sec","day")),POS_Q,"&lt;="&amp;Variables!$C$11))</f>
        <v/>
      </c>
      <c r="O199" s="31" t="str">
        <f>IF($B199="","",AVERAGEIFS(sdu,POS_Time,"&gt;="&amp;($C199+CONVERT(Variables!$C$12,"sec","day")),POS_Time,"&lt;="&amp;($D199-CONVERT(Variables!$C$12+1,"sec","day")),POS_Q,"&lt;="&amp;Variables!$C$11))</f>
        <v/>
      </c>
      <c r="P199" s="32" t="str">
        <f t="array" ref="P199">IF($B199="","",STDEV(IF(POS_Time&gt;=($C199+CONVERT(Variables!$C$12,"sec","day")),IF(POS_Time&lt;=($D199-CONVERT(Variables!$C$12+1,"sec","day")),IF(POS_Q&lt;=Variables!$C$11,POS_Lat)))))</f>
        <v/>
      </c>
      <c r="Q199" s="32" t="str">
        <f t="array" ref="Q199">IF($B199="","",STDEV(IF(POS_Time&gt;=($C199+CONVERT(Variables!$C$12,"sec","day")),IF(POS_Time&lt;=($D199-CONVERT(Variables!$C$12+1,"sec","day")),IF(POS_Q&lt;=Variables!$C$11,POS_Long)))))</f>
        <v/>
      </c>
      <c r="R199" s="32" t="str">
        <f t="array" ref="R199">IF($B199="","",STDEV(IF(POS_Time&gt;=($C199+CONVERT(Variables!$C$12,"sec","day")),IF(POS_Time&lt;=($D199-CONVERT(Variables!$C$12+1,"sec","day")),IF(POS_Q&lt;=Variables!$C$11,POS_elev)))))</f>
        <v/>
      </c>
      <c r="S199" s="30" t="str">
        <f>IF($B199="","",'Rover CSV Data'!K199)</f>
        <v/>
      </c>
      <c r="T199" s="26" t="str">
        <f>IF($B199="","",COUNTIFS(POS_Time,"&gt;="&amp;($C199+CONVERT(Variables!$C$12,"sec","day")),POS_Time,"&lt;="&amp;($D199-CONVERT(Variables!$C$12+1,"sec","day")),POS_Q,"&lt;="&amp;Variables!$C$11))</f>
        <v/>
      </c>
      <c r="U199" s="26" t="str">
        <f>IF($B199="","",IF(1&gt;Variables!$C$11,0,COUNTIFS(POS_Time,"&gt;="&amp;($C199+CONVERT(Variables!$C$12,"sec","day")),POS_Time,"&lt;="&amp;($D199-CONVERT(Variables!$C$12+1,"sec","day")),POS_Q,"=1")))</f>
        <v/>
      </c>
      <c r="V199" s="26" t="str">
        <f>IF($B199="","",IF(2&gt;Variables!$C$11,0,COUNTIFS(POS_Time,"&gt;="&amp;($C199+CONVERT(Variables!$C$12,"sec","day")),POS_Time,"&lt;="&amp;($D199-CONVERT(Variables!$C$12+1,"sec","day")),POS_Q,"=2")))</f>
        <v/>
      </c>
      <c r="W199" s="26" t="str">
        <f>IF($B199="","",IF(3&gt;Variables!$C$11,0,COUNTIFS(POS_Time,"&gt;="&amp;($C199+CONVERT(Variables!$C$12,"sec","day")),POS_Time,"&lt;="&amp;($D199-CONVERT(Variables!$C$12+1,"sec","day")),POS_Q,"=3")))</f>
        <v/>
      </c>
      <c r="X199" s="26" t="str">
        <f>IF($B199="","",IF(4&gt;Variables!$C$11,0,COUNTIFS(POS_Time,"&gt;="&amp;($C199+CONVERT(Variables!$C$12,"sec","day")),POS_Time,"&lt;="&amp;($D199-CONVERT(Variables!$C$12+1,"sec","day")),POS_Q,"=4")))</f>
        <v/>
      </c>
      <c r="Y199" s="26" t="str">
        <f>IF($B199="","",IF(5&gt;Variables!$C$11,0,COUNTIFS(POS_Time,"&gt;="&amp;($C199+CONVERT(Variables!$C$12,"sec","day")),POS_Time,"&lt;="&amp;($D199-CONVERT(Variables!$C$12+1,"sec","day")),POS_Q,"=5")))</f>
        <v/>
      </c>
      <c r="Z199" s="26" t="str">
        <f>IF($B199="","",IF(6&gt;Variables!$C$11,0,COUNTIFS(POS_Time,"&gt;="&amp;($C199+CONVERT(Variables!$C$12,"sec","day")),POS_Time,"&lt;="&amp;($D199-CONVERT(Variables!$C$12+1,"sec","day")),POS_Q,"=6")))</f>
        <v/>
      </c>
    </row>
    <row r="200" spans="1:26" x14ac:dyDescent="0.25">
      <c r="A200" s="2">
        <v>199</v>
      </c>
      <c r="B200" s="27" t="str">
        <f>IF((ROW()-1)&lt;=RoverStations,'Rover CSV Data'!B200,"")</f>
        <v/>
      </c>
      <c r="C200" s="28" t="str">
        <f>IF($B200="","",DATEVALUE(LEFT('Rover CSV Data'!F200,FIND(" ",'Rover CSV Data'!F200)-1))+TIMEVALUE(MID('Rover CSV Data'!F200,LEN('Rover CSV Data'!F200)-FIND(" ",'Rover CSV Data'!F200),(FIND(" UTC",'Rover CSV Data'!F200))-(LEN('Rover CSV Data'!F200)-FIND(" ",'Rover CSV Data'!F200)))))</f>
        <v/>
      </c>
      <c r="D200" s="28" t="str">
        <f>IF($B200="","",DATEVALUE(LEFT('Rover CSV Data'!G200,FIND(" ",'Rover CSV Data'!G200)-1))+TIMEVALUE(MID('Rover CSV Data'!G200,LEN('Rover CSV Data'!G200)-FIND(" ",'Rover CSV Data'!G200),(FIND(" UTC",'Rover CSV Data'!G200))-(LEN('Rover CSV Data'!G200)-FIND(" ",'Rover CSV Data'!G200)))))</f>
        <v/>
      </c>
      <c r="E200" s="29" t="str">
        <f t="shared" si="3"/>
        <v/>
      </c>
      <c r="F200" s="26" t="str">
        <f>IF($B200="","",'Rover CSV Data'!J200)</f>
        <v/>
      </c>
      <c r="G200" s="26" t="str">
        <f>IF($B200="","",AVERAGEIFS(POS_Lat,POS_Time,"&gt;="&amp;($C200+CONVERT(Variables!$C$12,"sec","day")),POS_Time,"&lt;="&amp;($D200-CONVERT(Variables!$C$12+1,"sec","day")),POS_Q,"&lt;="&amp;Variables!$C$11))</f>
        <v/>
      </c>
      <c r="H200" s="26" t="str">
        <f>IF($B200="","",AVERAGEIFS(POS_Long,POS_Time,"&gt;="&amp;($C200+CONVERT(Variables!$C$12,"sec","day")),POS_Time,"&lt;="&amp;($D200-CONVERT(Variables!$C$12+1,"sec","day")),POS_Q,"&lt;="&amp;Variables!$C$11))</f>
        <v/>
      </c>
      <c r="I200" s="30" t="str">
        <f>IF($B200="","",AVERAGEIFS(POS_elev,POS_Time,"&gt;="&amp;($C200+CONVERT(Variables!$C$12,"sec","day")),POS_Time,"&lt;="&amp;($D200-CONVERT(Variables!$C$12+1,"sec","day")),POS_Q,"&lt;="&amp;Variables!$C$11)-S200)</f>
        <v/>
      </c>
      <c r="J200" s="26" t="str">
        <f>IF($B200="","",'Rover CSV Data'!D200)</f>
        <v/>
      </c>
      <c r="K200" s="26" t="str">
        <f>IF($B200="","",'Rover CSV Data'!C200)</f>
        <v/>
      </c>
      <c r="L200" s="26" t="str">
        <f>IF($B200="","",'Rover CSV Data'!E200)</f>
        <v/>
      </c>
      <c r="M200" s="30" t="str">
        <f>IF($B200="","",AVERAGEIFS(sdn,POS_Time,"&gt;="&amp;($C200+CONVERT(Variables!$C$12,"sec","day")),POS_Time,"&lt;="&amp;($D200-CONVERT(Variables!$C$12+1,"sec","day")),POS_Q,"&lt;="&amp;Variables!$C$11))</f>
        <v/>
      </c>
      <c r="N200" s="31" t="str">
        <f>IF($B200="","",AVERAGEIFS(sde,POS_Time,"&gt;="&amp;($C200+CONVERT(Variables!$C$12,"sec","day")),POS_Time,"&lt;="&amp;($D200-CONVERT(Variables!$C$12+1,"sec","day")),POS_Q,"&lt;="&amp;Variables!$C$11))</f>
        <v/>
      </c>
      <c r="O200" s="31" t="str">
        <f>IF($B200="","",AVERAGEIFS(sdu,POS_Time,"&gt;="&amp;($C200+CONVERT(Variables!$C$12,"sec","day")),POS_Time,"&lt;="&amp;($D200-CONVERT(Variables!$C$12+1,"sec","day")),POS_Q,"&lt;="&amp;Variables!$C$11))</f>
        <v/>
      </c>
      <c r="P200" s="32" t="str">
        <f t="array" ref="P200">IF($B200="","",STDEV(IF(POS_Time&gt;=($C200+CONVERT(Variables!$C$12,"sec","day")),IF(POS_Time&lt;=($D200-CONVERT(Variables!$C$12+1,"sec","day")),IF(POS_Q&lt;=Variables!$C$11,POS_Lat)))))</f>
        <v/>
      </c>
      <c r="Q200" s="32" t="str">
        <f t="array" ref="Q200">IF($B200="","",STDEV(IF(POS_Time&gt;=($C200+CONVERT(Variables!$C$12,"sec","day")),IF(POS_Time&lt;=($D200-CONVERT(Variables!$C$12+1,"sec","day")),IF(POS_Q&lt;=Variables!$C$11,POS_Long)))))</f>
        <v/>
      </c>
      <c r="R200" s="32" t="str">
        <f t="array" ref="R200">IF($B200="","",STDEV(IF(POS_Time&gt;=($C200+CONVERT(Variables!$C$12,"sec","day")),IF(POS_Time&lt;=($D200-CONVERT(Variables!$C$12+1,"sec","day")),IF(POS_Q&lt;=Variables!$C$11,POS_elev)))))</f>
        <v/>
      </c>
      <c r="S200" s="30" t="str">
        <f>IF($B200="","",'Rover CSV Data'!K200)</f>
        <v/>
      </c>
      <c r="T200" s="26" t="str">
        <f>IF($B200="","",COUNTIFS(POS_Time,"&gt;="&amp;($C200+CONVERT(Variables!$C$12,"sec","day")),POS_Time,"&lt;="&amp;($D200-CONVERT(Variables!$C$12+1,"sec","day")),POS_Q,"&lt;="&amp;Variables!$C$11))</f>
        <v/>
      </c>
      <c r="U200" s="26" t="str">
        <f>IF($B200="","",IF(1&gt;Variables!$C$11,0,COUNTIFS(POS_Time,"&gt;="&amp;($C200+CONVERT(Variables!$C$12,"sec","day")),POS_Time,"&lt;="&amp;($D200-CONVERT(Variables!$C$12+1,"sec","day")),POS_Q,"=1")))</f>
        <v/>
      </c>
      <c r="V200" s="26" t="str">
        <f>IF($B200="","",IF(2&gt;Variables!$C$11,0,COUNTIFS(POS_Time,"&gt;="&amp;($C200+CONVERT(Variables!$C$12,"sec","day")),POS_Time,"&lt;="&amp;($D200-CONVERT(Variables!$C$12+1,"sec","day")),POS_Q,"=2")))</f>
        <v/>
      </c>
      <c r="W200" s="26" t="str">
        <f>IF($B200="","",IF(3&gt;Variables!$C$11,0,COUNTIFS(POS_Time,"&gt;="&amp;($C200+CONVERT(Variables!$C$12,"sec","day")),POS_Time,"&lt;="&amp;($D200-CONVERT(Variables!$C$12+1,"sec","day")),POS_Q,"=3")))</f>
        <v/>
      </c>
      <c r="X200" s="26" t="str">
        <f>IF($B200="","",IF(4&gt;Variables!$C$11,0,COUNTIFS(POS_Time,"&gt;="&amp;($C200+CONVERT(Variables!$C$12,"sec","day")),POS_Time,"&lt;="&amp;($D200-CONVERT(Variables!$C$12+1,"sec","day")),POS_Q,"=4")))</f>
        <v/>
      </c>
      <c r="Y200" s="26" t="str">
        <f>IF($B200="","",IF(5&gt;Variables!$C$11,0,COUNTIFS(POS_Time,"&gt;="&amp;($C200+CONVERT(Variables!$C$12,"sec","day")),POS_Time,"&lt;="&amp;($D200-CONVERT(Variables!$C$12+1,"sec","day")),POS_Q,"=5")))</f>
        <v/>
      </c>
      <c r="Z200" s="26" t="str">
        <f>IF($B200="","",IF(6&gt;Variables!$C$11,0,COUNTIFS(POS_Time,"&gt;="&amp;($C200+CONVERT(Variables!$C$12,"sec","day")),POS_Time,"&lt;="&amp;($D200-CONVERT(Variables!$C$12+1,"sec","day")),POS_Q,"=6")))</f>
        <v/>
      </c>
    </row>
    <row r="201" spans="1:26" x14ac:dyDescent="0.25">
      <c r="A201" s="2">
        <v>200</v>
      </c>
      <c r="B201" s="27" t="str">
        <f>IF((ROW()-1)&lt;=RoverStations,'Rover CSV Data'!B201,"")</f>
        <v/>
      </c>
      <c r="C201" s="28" t="str">
        <f>IF($B201="","",DATEVALUE(LEFT('Rover CSV Data'!F201,FIND(" ",'Rover CSV Data'!F201)-1))+TIMEVALUE(MID('Rover CSV Data'!F201,LEN('Rover CSV Data'!F201)-FIND(" ",'Rover CSV Data'!F201),(FIND(" UTC",'Rover CSV Data'!F201))-(LEN('Rover CSV Data'!F201)-FIND(" ",'Rover CSV Data'!F201)))))</f>
        <v/>
      </c>
      <c r="D201" s="28" t="str">
        <f>IF($B201="","",DATEVALUE(LEFT('Rover CSV Data'!G201,FIND(" ",'Rover CSV Data'!G201)-1))+TIMEVALUE(MID('Rover CSV Data'!G201,LEN('Rover CSV Data'!G201)-FIND(" ",'Rover CSV Data'!G201),(FIND(" UTC",'Rover CSV Data'!G201))-(LEN('Rover CSV Data'!G201)-FIND(" ",'Rover CSV Data'!G201)))))</f>
        <v/>
      </c>
      <c r="E201" s="29" t="str">
        <f t="shared" si="3"/>
        <v/>
      </c>
      <c r="F201" s="26" t="str">
        <f>IF($B201="","",'Rover CSV Data'!J201)</f>
        <v/>
      </c>
      <c r="G201" s="26" t="str">
        <f>IF($B201="","",AVERAGEIFS(POS_Lat,POS_Time,"&gt;="&amp;($C201+CONVERT(Variables!$C$12,"sec","day")),POS_Time,"&lt;="&amp;($D201-CONVERT(Variables!$C$12+1,"sec","day")),POS_Q,"&lt;="&amp;Variables!$C$11))</f>
        <v/>
      </c>
      <c r="H201" s="26" t="str">
        <f>IF($B201="","",AVERAGEIFS(POS_Long,POS_Time,"&gt;="&amp;($C201+CONVERT(Variables!$C$12,"sec","day")),POS_Time,"&lt;="&amp;($D201-CONVERT(Variables!$C$12+1,"sec","day")),POS_Q,"&lt;="&amp;Variables!$C$11))</f>
        <v/>
      </c>
      <c r="I201" s="30" t="str">
        <f>IF($B201="","",AVERAGEIFS(POS_elev,POS_Time,"&gt;="&amp;($C201+CONVERT(Variables!$C$12,"sec","day")),POS_Time,"&lt;="&amp;($D201-CONVERT(Variables!$C$12+1,"sec","day")),POS_Q,"&lt;="&amp;Variables!$C$11)-S201)</f>
        <v/>
      </c>
      <c r="J201" s="26" t="str">
        <f>IF($B201="","",'Rover CSV Data'!D201)</f>
        <v/>
      </c>
      <c r="K201" s="26" t="str">
        <f>IF($B201="","",'Rover CSV Data'!C201)</f>
        <v/>
      </c>
      <c r="L201" s="26" t="str">
        <f>IF($B201="","",'Rover CSV Data'!E201)</f>
        <v/>
      </c>
      <c r="M201" s="30" t="str">
        <f>IF($B201="","",AVERAGEIFS(sdn,POS_Time,"&gt;="&amp;($C201+CONVERT(Variables!$C$12,"sec","day")),POS_Time,"&lt;="&amp;($D201-CONVERT(Variables!$C$12+1,"sec","day")),POS_Q,"&lt;="&amp;Variables!$C$11))</f>
        <v/>
      </c>
      <c r="N201" s="31" t="str">
        <f>IF($B201="","",AVERAGEIFS(sde,POS_Time,"&gt;="&amp;($C201+CONVERT(Variables!$C$12,"sec","day")),POS_Time,"&lt;="&amp;($D201-CONVERT(Variables!$C$12+1,"sec","day")),POS_Q,"&lt;="&amp;Variables!$C$11))</f>
        <v/>
      </c>
      <c r="O201" s="31" t="str">
        <f>IF($B201="","",AVERAGEIFS(sdu,POS_Time,"&gt;="&amp;($C201+CONVERT(Variables!$C$12,"sec","day")),POS_Time,"&lt;="&amp;($D201-CONVERT(Variables!$C$12+1,"sec","day")),POS_Q,"&lt;="&amp;Variables!$C$11))</f>
        <v/>
      </c>
      <c r="P201" s="32" t="str">
        <f t="array" ref="P201">IF($B201="","",STDEV(IF(POS_Time&gt;=($C201+CONVERT(Variables!$C$12,"sec","day")),IF(POS_Time&lt;=($D201-CONVERT(Variables!$C$12+1,"sec","day")),IF(POS_Q&lt;=Variables!$C$11,POS_Lat)))))</f>
        <v/>
      </c>
      <c r="Q201" s="32" t="str">
        <f t="array" ref="Q201">IF($B201="","",STDEV(IF(POS_Time&gt;=($C201+CONVERT(Variables!$C$12,"sec","day")),IF(POS_Time&lt;=($D201-CONVERT(Variables!$C$12+1,"sec","day")),IF(POS_Q&lt;=Variables!$C$11,POS_Long)))))</f>
        <v/>
      </c>
      <c r="R201" s="32" t="str">
        <f t="array" ref="R201">IF($B201="","",STDEV(IF(POS_Time&gt;=($C201+CONVERT(Variables!$C$12,"sec","day")),IF(POS_Time&lt;=($D201-CONVERT(Variables!$C$12+1,"sec","day")),IF(POS_Q&lt;=Variables!$C$11,POS_elev)))))</f>
        <v/>
      </c>
      <c r="S201" s="30" t="str">
        <f>IF($B201="","",'Rover CSV Data'!K201)</f>
        <v/>
      </c>
      <c r="T201" s="26" t="str">
        <f>IF($B201="","",COUNTIFS(POS_Time,"&gt;="&amp;($C201+CONVERT(Variables!$C$12,"sec","day")),POS_Time,"&lt;="&amp;($D201-CONVERT(Variables!$C$12+1,"sec","day")),POS_Q,"&lt;="&amp;Variables!$C$11))</f>
        <v/>
      </c>
      <c r="U201" s="26" t="str">
        <f>IF($B201="","",IF(1&gt;Variables!$C$11,0,COUNTIFS(POS_Time,"&gt;="&amp;($C201+CONVERT(Variables!$C$12,"sec","day")),POS_Time,"&lt;="&amp;($D201-CONVERT(Variables!$C$12+1,"sec","day")),POS_Q,"=1")))</f>
        <v/>
      </c>
      <c r="V201" s="26" t="str">
        <f>IF($B201="","",IF(2&gt;Variables!$C$11,0,COUNTIFS(POS_Time,"&gt;="&amp;($C201+CONVERT(Variables!$C$12,"sec","day")),POS_Time,"&lt;="&amp;($D201-CONVERT(Variables!$C$12+1,"sec","day")),POS_Q,"=2")))</f>
        <v/>
      </c>
      <c r="W201" s="26" t="str">
        <f>IF($B201="","",IF(3&gt;Variables!$C$11,0,COUNTIFS(POS_Time,"&gt;="&amp;($C201+CONVERT(Variables!$C$12,"sec","day")),POS_Time,"&lt;="&amp;($D201-CONVERT(Variables!$C$12+1,"sec","day")),POS_Q,"=3")))</f>
        <v/>
      </c>
      <c r="X201" s="26" t="str">
        <f>IF($B201="","",IF(4&gt;Variables!$C$11,0,COUNTIFS(POS_Time,"&gt;="&amp;($C201+CONVERT(Variables!$C$12,"sec","day")),POS_Time,"&lt;="&amp;($D201-CONVERT(Variables!$C$12+1,"sec","day")),POS_Q,"=4")))</f>
        <v/>
      </c>
      <c r="Y201" s="26" t="str">
        <f>IF($B201="","",IF(5&gt;Variables!$C$11,0,COUNTIFS(POS_Time,"&gt;="&amp;($C201+CONVERT(Variables!$C$12,"sec","day")),POS_Time,"&lt;="&amp;($D201-CONVERT(Variables!$C$12+1,"sec","day")),POS_Q,"=5")))</f>
        <v/>
      </c>
      <c r="Z201" s="26" t="str">
        <f>IF($B201="","",IF(6&gt;Variables!$C$11,0,COUNTIFS(POS_Time,"&gt;="&amp;($C201+CONVERT(Variables!$C$12,"sec","day")),POS_Time,"&lt;="&amp;($D201-CONVERT(Variables!$C$12+1,"sec","day")),POS_Q,"=6")))</f>
        <v/>
      </c>
    </row>
    <row r="202" spans="1:26" x14ac:dyDescent="0.25">
      <c r="B202" s="27"/>
      <c r="C202" s="23"/>
      <c r="D202" s="23"/>
      <c r="E202" s="29"/>
      <c r="F202" s="26"/>
      <c r="P202" s="32"/>
      <c r="Q202" s="32"/>
    </row>
    <row r="203" spans="1:26" x14ac:dyDescent="0.25">
      <c r="B203" s="26"/>
      <c r="C203" s="23"/>
      <c r="D203" s="23"/>
      <c r="E203" s="29"/>
      <c r="F203" s="26"/>
      <c r="P203" s="32"/>
      <c r="Q203" s="32"/>
    </row>
    <row r="204" spans="1:26" x14ac:dyDescent="0.25">
      <c r="B204" s="26"/>
      <c r="C204" s="23"/>
      <c r="D204" s="23"/>
      <c r="E204" s="29"/>
      <c r="F204" s="26"/>
      <c r="P204" s="32"/>
      <c r="Q204" s="32"/>
    </row>
    <row r="205" spans="1:26" x14ac:dyDescent="0.25">
      <c r="B205" s="26"/>
      <c r="C205" s="23"/>
      <c r="D205" s="23"/>
      <c r="E205" s="29"/>
      <c r="F205" s="26"/>
      <c r="P205" s="32"/>
      <c r="Q205" s="32"/>
    </row>
    <row r="206" spans="1:26" x14ac:dyDescent="0.25">
      <c r="B206" s="26"/>
      <c r="C206" s="23"/>
      <c r="D206" s="23"/>
      <c r="E206" s="29"/>
      <c r="F206" s="26"/>
      <c r="P206" s="32"/>
      <c r="Q206" s="32"/>
    </row>
    <row r="207" spans="1:26" x14ac:dyDescent="0.25">
      <c r="B207" s="26"/>
      <c r="C207" s="23"/>
      <c r="D207" s="23"/>
      <c r="E207" s="29"/>
      <c r="F207" s="26"/>
      <c r="P207" s="32"/>
      <c r="Q207" s="32"/>
    </row>
    <row r="208" spans="1:26" x14ac:dyDescent="0.25">
      <c r="B208" s="26"/>
      <c r="C208" s="23"/>
      <c r="D208" s="23"/>
      <c r="E208" s="29"/>
      <c r="F208" s="26"/>
      <c r="P208" s="32"/>
      <c r="Q208" s="32"/>
    </row>
    <row r="209" spans="2:17" x14ac:dyDescent="0.25">
      <c r="B209" s="26"/>
      <c r="C209" s="23"/>
      <c r="D209" s="23"/>
      <c r="E209" s="29"/>
      <c r="F209" s="26"/>
      <c r="P209" s="32"/>
      <c r="Q209" s="32"/>
    </row>
    <row r="210" spans="2:17" x14ac:dyDescent="0.25">
      <c r="B210" s="26"/>
      <c r="C210" s="23"/>
      <c r="D210" s="23"/>
      <c r="E210" s="29"/>
      <c r="F210" s="26"/>
      <c r="P210" s="32"/>
      <c r="Q210" s="32"/>
    </row>
    <row r="211" spans="2:17" x14ac:dyDescent="0.25">
      <c r="B211" s="26"/>
      <c r="C211" s="23"/>
      <c r="D211" s="23"/>
      <c r="E211" s="29"/>
      <c r="F211" s="26"/>
      <c r="P211" s="32"/>
      <c r="Q211" s="32"/>
    </row>
    <row r="212" spans="2:17" x14ac:dyDescent="0.25">
      <c r="B212" s="26"/>
      <c r="C212" s="23"/>
      <c r="D212" s="23"/>
      <c r="E212" s="29"/>
      <c r="F212" s="26"/>
      <c r="P212" s="32"/>
      <c r="Q212" s="32"/>
    </row>
    <row r="213" spans="2:17" x14ac:dyDescent="0.25">
      <c r="B213" s="26"/>
      <c r="C213" s="23"/>
      <c r="D213" s="23"/>
      <c r="E213" s="29"/>
      <c r="F213" s="26"/>
      <c r="P213" s="32"/>
      <c r="Q213" s="32"/>
    </row>
    <row r="214" spans="2:17" x14ac:dyDescent="0.25">
      <c r="B214" s="26"/>
      <c r="C214" s="23"/>
      <c r="D214" s="23"/>
      <c r="E214" s="29"/>
      <c r="F214" s="26"/>
      <c r="P214" s="32"/>
      <c r="Q214" s="32"/>
    </row>
    <row r="215" spans="2:17" x14ac:dyDescent="0.25">
      <c r="B215" s="26"/>
      <c r="C215" s="23"/>
      <c r="D215" s="23"/>
      <c r="E215" s="29"/>
      <c r="F215" s="26"/>
      <c r="P215" s="32"/>
      <c r="Q215" s="32"/>
    </row>
    <row r="216" spans="2:17" x14ac:dyDescent="0.25">
      <c r="B216" s="26"/>
      <c r="C216" s="23"/>
      <c r="D216" s="23"/>
      <c r="E216" s="29"/>
      <c r="F216" s="26"/>
      <c r="P216" s="32"/>
      <c r="Q216" s="32"/>
    </row>
    <row r="217" spans="2:17" x14ac:dyDescent="0.25">
      <c r="B217" s="26"/>
      <c r="C217" s="23"/>
      <c r="D217" s="23"/>
      <c r="E217" s="29"/>
      <c r="F217" s="26"/>
      <c r="P217" s="32"/>
      <c r="Q217" s="32"/>
    </row>
    <row r="218" spans="2:17" x14ac:dyDescent="0.25">
      <c r="B218" s="26"/>
      <c r="C218" s="23"/>
      <c r="D218" s="23"/>
      <c r="E218" s="29"/>
      <c r="F218" s="26"/>
      <c r="P218" s="32"/>
      <c r="Q218" s="32"/>
    </row>
    <row r="219" spans="2:17" x14ac:dyDescent="0.25">
      <c r="B219" s="26"/>
      <c r="C219" s="23"/>
      <c r="D219" s="23"/>
      <c r="E219" s="29"/>
      <c r="F219" s="26"/>
      <c r="P219" s="32"/>
      <c r="Q219" s="32"/>
    </row>
    <row r="220" spans="2:17" x14ac:dyDescent="0.25">
      <c r="B220" s="26"/>
      <c r="C220" s="23"/>
      <c r="D220" s="23"/>
      <c r="E220" s="29"/>
      <c r="F220" s="26"/>
      <c r="P220" s="32"/>
      <c r="Q220" s="32"/>
    </row>
    <row r="221" spans="2:17" x14ac:dyDescent="0.25">
      <c r="B221" s="26"/>
      <c r="C221" s="23"/>
      <c r="D221" s="23"/>
      <c r="E221" s="29"/>
      <c r="F221" s="26"/>
      <c r="P221" s="32"/>
      <c r="Q221" s="32"/>
    </row>
    <row r="222" spans="2:17" x14ac:dyDescent="0.25">
      <c r="B222" s="26"/>
      <c r="C222" s="23"/>
      <c r="D222" s="23"/>
      <c r="E222" s="29"/>
      <c r="F222" s="26"/>
      <c r="P222" s="32"/>
      <c r="Q222" s="32"/>
    </row>
    <row r="223" spans="2:17" x14ac:dyDescent="0.25">
      <c r="B223" s="26"/>
      <c r="C223" s="23"/>
      <c r="D223" s="23"/>
      <c r="E223" s="29"/>
      <c r="F223" s="26"/>
      <c r="P223" s="32"/>
      <c r="Q223" s="32"/>
    </row>
    <row r="224" spans="2:17" x14ac:dyDescent="0.25">
      <c r="B224" s="26"/>
      <c r="C224" s="23"/>
      <c r="D224" s="23"/>
      <c r="E224" s="29"/>
      <c r="F224" s="26"/>
      <c r="P224" s="32"/>
      <c r="Q224" s="32"/>
    </row>
    <row r="225" spans="2:17" x14ac:dyDescent="0.25">
      <c r="B225" s="26"/>
      <c r="C225" s="23"/>
      <c r="D225" s="23"/>
      <c r="E225" s="29"/>
      <c r="F225" s="26"/>
      <c r="P225" s="32"/>
      <c r="Q225" s="32"/>
    </row>
    <row r="226" spans="2:17" x14ac:dyDescent="0.25">
      <c r="B226" s="26"/>
      <c r="C226" s="23"/>
      <c r="D226" s="23"/>
      <c r="E226" s="29"/>
      <c r="F226" s="26"/>
      <c r="P226" s="32"/>
      <c r="Q226" s="32"/>
    </row>
    <row r="227" spans="2:17" x14ac:dyDescent="0.25">
      <c r="B227" s="26"/>
      <c r="C227" s="23"/>
      <c r="D227" s="23"/>
      <c r="E227" s="29"/>
      <c r="F227" s="26"/>
      <c r="P227" s="32"/>
      <c r="Q227" s="32"/>
    </row>
    <row r="228" spans="2:17" x14ac:dyDescent="0.25">
      <c r="B228" s="26"/>
      <c r="C228" s="23"/>
      <c r="D228" s="23"/>
      <c r="E228" s="29"/>
      <c r="F228" s="26"/>
      <c r="P228" s="32"/>
      <c r="Q228" s="32"/>
    </row>
    <row r="229" spans="2:17" x14ac:dyDescent="0.25">
      <c r="B229" s="26"/>
      <c r="C229" s="23"/>
      <c r="D229" s="23"/>
      <c r="E229" s="29"/>
      <c r="F229" s="26"/>
      <c r="P229" s="32"/>
      <c r="Q229" s="32"/>
    </row>
    <row r="230" spans="2:17" x14ac:dyDescent="0.25">
      <c r="B230" s="26"/>
      <c r="C230" s="23"/>
      <c r="D230" s="23"/>
      <c r="E230" s="29"/>
      <c r="F230" s="26"/>
      <c r="P230" s="32"/>
      <c r="Q230" s="32"/>
    </row>
    <row r="231" spans="2:17" x14ac:dyDescent="0.25">
      <c r="B231" s="26"/>
      <c r="C231" s="23"/>
      <c r="D231" s="23"/>
      <c r="E231" s="29"/>
      <c r="F231" s="26"/>
      <c r="P231" s="32"/>
      <c r="Q231" s="32"/>
    </row>
    <row r="232" spans="2:17" x14ac:dyDescent="0.25">
      <c r="B232" s="26"/>
      <c r="C232" s="23"/>
      <c r="D232" s="23"/>
      <c r="E232" s="29"/>
      <c r="F232" s="26"/>
      <c r="P232" s="32"/>
      <c r="Q232" s="32"/>
    </row>
    <row r="233" spans="2:17" x14ac:dyDescent="0.25">
      <c r="B233" s="26"/>
      <c r="C233" s="23"/>
      <c r="D233" s="23"/>
      <c r="E233" s="29"/>
      <c r="F233" s="26"/>
      <c r="P233" s="32"/>
      <c r="Q233" s="32"/>
    </row>
    <row r="234" spans="2:17" x14ac:dyDescent="0.25">
      <c r="B234" s="26"/>
      <c r="C234" s="23"/>
      <c r="D234" s="23"/>
      <c r="E234" s="29"/>
      <c r="F234" s="26"/>
      <c r="P234" s="32"/>
      <c r="Q234" s="32"/>
    </row>
    <row r="235" spans="2:17" x14ac:dyDescent="0.25">
      <c r="B235" s="26"/>
      <c r="C235" s="23"/>
      <c r="D235" s="23"/>
      <c r="E235" s="29"/>
      <c r="F235" s="26"/>
      <c r="P235" s="32"/>
      <c r="Q235" s="32"/>
    </row>
    <row r="236" spans="2:17" x14ac:dyDescent="0.25">
      <c r="B236" s="26"/>
      <c r="C236" s="23"/>
      <c r="D236" s="23"/>
      <c r="E236" s="29"/>
      <c r="F236" s="26"/>
      <c r="P236" s="32"/>
      <c r="Q236" s="32"/>
    </row>
    <row r="237" spans="2:17" x14ac:dyDescent="0.25">
      <c r="B237" s="26"/>
      <c r="C237" s="23"/>
      <c r="D237" s="23"/>
      <c r="E237" s="29"/>
      <c r="F237" s="26"/>
      <c r="P237" s="32"/>
      <c r="Q237" s="32"/>
    </row>
    <row r="238" spans="2:17" x14ac:dyDescent="0.25">
      <c r="B238" s="26"/>
      <c r="C238" s="23"/>
      <c r="D238" s="23"/>
      <c r="E238" s="29"/>
      <c r="F238" s="26"/>
      <c r="P238" s="32"/>
      <c r="Q238" s="32"/>
    </row>
    <row r="239" spans="2:17" x14ac:dyDescent="0.25">
      <c r="B239" s="26"/>
      <c r="C239" s="23"/>
      <c r="D239" s="23"/>
      <c r="E239" s="29"/>
      <c r="F239" s="26"/>
      <c r="P239" s="32"/>
      <c r="Q239" s="32"/>
    </row>
    <row r="240" spans="2:17" x14ac:dyDescent="0.25">
      <c r="B240" s="26"/>
      <c r="C240" s="23"/>
      <c r="D240" s="23"/>
      <c r="E240" s="29"/>
      <c r="F240" s="26"/>
      <c r="P240" s="32"/>
      <c r="Q240" s="32"/>
    </row>
    <row r="241" spans="2:17" x14ac:dyDescent="0.25">
      <c r="B241" s="26"/>
      <c r="C241" s="23"/>
      <c r="D241" s="23"/>
      <c r="E241" s="29"/>
      <c r="F241" s="26"/>
      <c r="P241" s="32"/>
      <c r="Q241" s="32"/>
    </row>
    <row r="242" spans="2:17" x14ac:dyDescent="0.25">
      <c r="B242" s="26"/>
      <c r="C242" s="23"/>
      <c r="D242" s="23"/>
      <c r="E242" s="29"/>
      <c r="F242" s="26"/>
      <c r="P242" s="32"/>
      <c r="Q242" s="32"/>
    </row>
    <row r="243" spans="2:17" x14ac:dyDescent="0.25">
      <c r="B243" s="26"/>
      <c r="C243" s="23"/>
      <c r="D243" s="23"/>
      <c r="E243" s="29"/>
      <c r="F243" s="26"/>
      <c r="P243" s="32"/>
      <c r="Q243" s="32"/>
    </row>
    <row r="244" spans="2:17" x14ac:dyDescent="0.25">
      <c r="B244" s="26"/>
      <c r="C244" s="23"/>
      <c r="D244" s="23"/>
      <c r="E244" s="29"/>
      <c r="F244" s="26"/>
      <c r="P244" s="32"/>
      <c r="Q244" s="32"/>
    </row>
    <row r="245" spans="2:17" x14ac:dyDescent="0.25">
      <c r="B245" s="26"/>
      <c r="C245" s="23"/>
      <c r="D245" s="23"/>
      <c r="E245" s="29"/>
      <c r="F245" s="26"/>
      <c r="P245" s="32"/>
      <c r="Q245" s="32"/>
    </row>
    <row r="246" spans="2:17" x14ac:dyDescent="0.25">
      <c r="B246" s="26"/>
      <c r="C246" s="23"/>
      <c r="D246" s="23"/>
      <c r="E246" s="29"/>
      <c r="F246" s="26"/>
      <c r="P246" s="32"/>
      <c r="Q246" s="32"/>
    </row>
    <row r="247" spans="2:17" x14ac:dyDescent="0.25">
      <c r="B247" s="26"/>
      <c r="C247" s="23"/>
      <c r="D247" s="23"/>
      <c r="E247" s="29"/>
      <c r="F247" s="26"/>
      <c r="P247" s="32"/>
      <c r="Q247" s="32"/>
    </row>
    <row r="248" spans="2:17" x14ac:dyDescent="0.25">
      <c r="B248" s="26"/>
      <c r="C248" s="23"/>
      <c r="D248" s="23"/>
      <c r="E248" s="29"/>
      <c r="F248" s="26"/>
      <c r="P248" s="32"/>
      <c r="Q248" s="32"/>
    </row>
    <row r="249" spans="2:17" x14ac:dyDescent="0.25">
      <c r="B249" s="26"/>
      <c r="C249" s="23"/>
      <c r="D249" s="23"/>
      <c r="E249" s="29"/>
      <c r="F249" s="26"/>
      <c r="P249" s="32"/>
      <c r="Q249" s="32"/>
    </row>
    <row r="250" spans="2:17" x14ac:dyDescent="0.25">
      <c r="B250" s="26"/>
      <c r="C250" s="23"/>
      <c r="D250" s="23"/>
      <c r="E250" s="29"/>
      <c r="F250" s="26"/>
      <c r="P250" s="32"/>
      <c r="Q250" s="32"/>
    </row>
    <row r="251" spans="2:17" x14ac:dyDescent="0.25">
      <c r="B251" s="26"/>
      <c r="C251" s="23"/>
      <c r="D251" s="23"/>
      <c r="E251" s="29"/>
      <c r="F251" s="26"/>
      <c r="P251" s="32"/>
      <c r="Q251" s="32"/>
    </row>
    <row r="252" spans="2:17" x14ac:dyDescent="0.25">
      <c r="B252" s="26"/>
      <c r="C252" s="23"/>
      <c r="D252" s="23"/>
      <c r="E252" s="29"/>
      <c r="F252" s="26"/>
      <c r="P252" s="32"/>
      <c r="Q252" s="32"/>
    </row>
    <row r="253" spans="2:17" x14ac:dyDescent="0.25">
      <c r="B253" s="26"/>
      <c r="C253" s="23"/>
      <c r="D253" s="23"/>
      <c r="E253" s="29"/>
      <c r="F253" s="26"/>
      <c r="P253" s="32"/>
      <c r="Q253" s="32"/>
    </row>
    <row r="254" spans="2:17" x14ac:dyDescent="0.25">
      <c r="B254" s="26"/>
      <c r="C254" s="23"/>
      <c r="D254" s="23"/>
      <c r="E254" s="29"/>
      <c r="F254" s="26"/>
      <c r="P254" s="32"/>
      <c r="Q254" s="32"/>
    </row>
    <row r="255" spans="2:17" x14ac:dyDescent="0.25">
      <c r="B255" s="26"/>
      <c r="C255" s="23"/>
      <c r="D255" s="23"/>
      <c r="E255" s="29"/>
      <c r="F255" s="26"/>
      <c r="P255" s="32"/>
      <c r="Q255" s="32"/>
    </row>
    <row r="256" spans="2:17" x14ac:dyDescent="0.25">
      <c r="B256" s="26"/>
      <c r="C256" s="23"/>
      <c r="D256" s="23"/>
      <c r="E256" s="29"/>
      <c r="F256" s="26"/>
      <c r="P256" s="32"/>
      <c r="Q256" s="32"/>
    </row>
    <row r="257" spans="2:17" x14ac:dyDescent="0.25">
      <c r="B257" s="26"/>
      <c r="C257" s="23"/>
      <c r="D257" s="23"/>
      <c r="E257" s="29"/>
      <c r="F257" s="26"/>
      <c r="P257" s="32"/>
      <c r="Q257" s="32"/>
    </row>
    <row r="258" spans="2:17" x14ac:dyDescent="0.25">
      <c r="B258" s="26"/>
      <c r="C258" s="23"/>
      <c r="D258" s="23"/>
      <c r="E258" s="29"/>
      <c r="F258" s="26"/>
      <c r="P258" s="32"/>
      <c r="Q258" s="32"/>
    </row>
    <row r="259" spans="2:17" x14ac:dyDescent="0.25">
      <c r="B259" s="26"/>
      <c r="C259" s="23"/>
      <c r="D259" s="23"/>
      <c r="E259" s="29"/>
      <c r="F259" s="26"/>
      <c r="P259" s="32"/>
      <c r="Q259" s="32"/>
    </row>
    <row r="260" spans="2:17" x14ac:dyDescent="0.25">
      <c r="B260" s="26"/>
      <c r="C260" s="23"/>
      <c r="D260" s="23"/>
      <c r="E260" s="29"/>
      <c r="F260" s="26"/>
      <c r="P260" s="32"/>
      <c r="Q260" s="32"/>
    </row>
    <row r="261" spans="2:17" x14ac:dyDescent="0.25">
      <c r="B261" s="26"/>
      <c r="C261" s="23"/>
      <c r="D261" s="23"/>
      <c r="E261" s="29"/>
      <c r="F261" s="26"/>
      <c r="P261" s="32"/>
      <c r="Q261" s="32"/>
    </row>
    <row r="262" spans="2:17" x14ac:dyDescent="0.25">
      <c r="B262" s="26"/>
      <c r="C262" s="23"/>
      <c r="D262" s="23"/>
      <c r="E262" s="29"/>
      <c r="F262" s="26"/>
      <c r="P262" s="32"/>
      <c r="Q262" s="32"/>
    </row>
    <row r="263" spans="2:17" x14ac:dyDescent="0.25">
      <c r="B263" s="26"/>
      <c r="C263" s="23"/>
      <c r="D263" s="23"/>
      <c r="E263" s="29"/>
      <c r="F263" s="26"/>
      <c r="P263" s="32"/>
      <c r="Q263" s="32"/>
    </row>
    <row r="264" spans="2:17" x14ac:dyDescent="0.25">
      <c r="B264" s="26"/>
      <c r="C264" s="23"/>
      <c r="D264" s="23"/>
      <c r="E264" s="29"/>
      <c r="F264" s="26"/>
      <c r="P264" s="32"/>
      <c r="Q264" s="32"/>
    </row>
    <row r="265" spans="2:17" x14ac:dyDescent="0.25">
      <c r="B265" s="26"/>
      <c r="C265" s="23"/>
      <c r="D265" s="23"/>
      <c r="E265" s="29"/>
      <c r="F265" s="26"/>
      <c r="P265" s="32"/>
      <c r="Q265" s="32"/>
    </row>
    <row r="266" spans="2:17" x14ac:dyDescent="0.25">
      <c r="B266" s="26"/>
      <c r="C266" s="23"/>
      <c r="D266" s="23"/>
      <c r="E266" s="29"/>
      <c r="F266" s="26"/>
      <c r="P266" s="32"/>
      <c r="Q266" s="32"/>
    </row>
    <row r="267" spans="2:17" x14ac:dyDescent="0.25">
      <c r="B267" s="26"/>
      <c r="C267" s="23"/>
      <c r="D267" s="23"/>
      <c r="E267" s="29"/>
      <c r="F267" s="26"/>
      <c r="P267" s="32"/>
      <c r="Q267" s="32"/>
    </row>
    <row r="268" spans="2:17" x14ac:dyDescent="0.25">
      <c r="B268" s="26"/>
      <c r="C268" s="23"/>
      <c r="D268" s="23"/>
      <c r="E268" s="29"/>
      <c r="F268" s="26"/>
      <c r="P268" s="32"/>
      <c r="Q268" s="32"/>
    </row>
    <row r="269" spans="2:17" x14ac:dyDescent="0.25">
      <c r="B269" s="26"/>
      <c r="C269" s="23"/>
      <c r="D269" s="23"/>
      <c r="E269" s="29"/>
      <c r="F269" s="26"/>
      <c r="P269" s="32"/>
      <c r="Q269" s="32"/>
    </row>
    <row r="270" spans="2:17" x14ac:dyDescent="0.25">
      <c r="B270" s="26"/>
      <c r="C270" s="23"/>
      <c r="D270" s="23"/>
      <c r="E270" s="29"/>
      <c r="F270" s="26"/>
      <c r="P270" s="32"/>
      <c r="Q270" s="32"/>
    </row>
    <row r="271" spans="2:17" x14ac:dyDescent="0.25">
      <c r="B271" s="26"/>
      <c r="C271" s="23"/>
      <c r="D271" s="23"/>
      <c r="E271" s="29"/>
      <c r="F271" s="26"/>
      <c r="P271" s="32"/>
      <c r="Q271" s="32"/>
    </row>
    <row r="272" spans="2:17" x14ac:dyDescent="0.25">
      <c r="B272" s="26"/>
      <c r="C272" s="23"/>
      <c r="D272" s="23"/>
      <c r="E272" s="29"/>
      <c r="F272" s="26"/>
      <c r="P272" s="32"/>
      <c r="Q272" s="32"/>
    </row>
    <row r="273" spans="2:17" x14ac:dyDescent="0.25">
      <c r="B273" s="26"/>
      <c r="C273" s="23"/>
      <c r="D273" s="23"/>
      <c r="E273" s="29"/>
      <c r="F273" s="26"/>
      <c r="P273" s="32"/>
      <c r="Q273" s="32"/>
    </row>
    <row r="274" spans="2:17" x14ac:dyDescent="0.25">
      <c r="B274" s="26"/>
      <c r="C274" s="23"/>
      <c r="D274" s="23"/>
      <c r="E274" s="29"/>
      <c r="F274" s="26"/>
      <c r="P274" s="32"/>
      <c r="Q274" s="32"/>
    </row>
    <row r="275" spans="2:17" x14ac:dyDescent="0.25">
      <c r="B275" s="26"/>
      <c r="C275" s="23"/>
      <c r="D275" s="23"/>
      <c r="E275" s="29"/>
      <c r="F275" s="26"/>
      <c r="P275" s="32"/>
      <c r="Q275" s="32"/>
    </row>
    <row r="276" spans="2:17" x14ac:dyDescent="0.25">
      <c r="B276" s="26"/>
      <c r="C276" s="23"/>
      <c r="D276" s="23"/>
      <c r="E276" s="29"/>
      <c r="F276" s="26"/>
      <c r="P276" s="32"/>
      <c r="Q276" s="32"/>
    </row>
    <row r="277" spans="2:17" x14ac:dyDescent="0.25">
      <c r="B277" s="26"/>
      <c r="C277" s="23"/>
      <c r="D277" s="23"/>
      <c r="E277" s="29"/>
      <c r="F277" s="26"/>
      <c r="P277" s="32"/>
      <c r="Q277" s="32"/>
    </row>
    <row r="278" spans="2:17" x14ac:dyDescent="0.25">
      <c r="B278" s="26"/>
      <c r="C278" s="23"/>
      <c r="D278" s="23"/>
      <c r="E278" s="29"/>
      <c r="F278" s="26"/>
      <c r="P278" s="32"/>
      <c r="Q278" s="32"/>
    </row>
    <row r="279" spans="2:17" x14ac:dyDescent="0.25">
      <c r="B279" s="26"/>
      <c r="C279" s="23"/>
      <c r="D279" s="23"/>
      <c r="E279" s="29"/>
      <c r="F279" s="26"/>
      <c r="P279" s="32"/>
      <c r="Q279" s="32"/>
    </row>
    <row r="280" spans="2:17" x14ac:dyDescent="0.25">
      <c r="B280" s="26"/>
      <c r="C280" s="23"/>
      <c r="D280" s="23"/>
      <c r="E280" s="29"/>
      <c r="F280" s="26"/>
      <c r="P280" s="32"/>
      <c r="Q280" s="32"/>
    </row>
    <row r="281" spans="2:17" x14ac:dyDescent="0.25">
      <c r="B281" s="26"/>
      <c r="C281" s="23"/>
      <c r="D281" s="23"/>
      <c r="E281" s="29"/>
      <c r="F281" s="26"/>
      <c r="P281" s="32"/>
      <c r="Q281" s="32"/>
    </row>
    <row r="282" spans="2:17" x14ac:dyDescent="0.25">
      <c r="B282" s="26"/>
      <c r="C282" s="23"/>
      <c r="D282" s="23"/>
      <c r="E282" s="29"/>
      <c r="F282" s="26"/>
      <c r="P282" s="32"/>
      <c r="Q282" s="32"/>
    </row>
    <row r="283" spans="2:17" x14ac:dyDescent="0.25">
      <c r="B283" s="26"/>
      <c r="C283" s="23"/>
      <c r="D283" s="23"/>
      <c r="E283" s="29"/>
      <c r="F283" s="26"/>
      <c r="P283" s="32"/>
      <c r="Q283" s="32"/>
    </row>
    <row r="284" spans="2:17" x14ac:dyDescent="0.25">
      <c r="B284" s="26"/>
      <c r="C284" s="23"/>
      <c r="D284" s="23"/>
      <c r="E284" s="29"/>
      <c r="F284" s="26"/>
      <c r="P284" s="32"/>
      <c r="Q284" s="32"/>
    </row>
    <row r="285" spans="2:17" x14ac:dyDescent="0.25">
      <c r="B285" s="26"/>
      <c r="C285" s="23"/>
      <c r="D285" s="23"/>
      <c r="E285" s="29"/>
      <c r="F285" s="26"/>
      <c r="P285" s="32"/>
      <c r="Q285" s="32"/>
    </row>
    <row r="286" spans="2:17" x14ac:dyDescent="0.25">
      <c r="B286" s="26"/>
      <c r="C286" s="23"/>
      <c r="D286" s="23"/>
      <c r="E286" s="29"/>
      <c r="F286" s="26"/>
      <c r="P286" s="32"/>
      <c r="Q286" s="32"/>
    </row>
    <row r="287" spans="2:17" x14ac:dyDescent="0.25">
      <c r="B287" s="26"/>
      <c r="C287" s="23"/>
      <c r="D287" s="23"/>
      <c r="E287" s="29"/>
      <c r="F287" s="26"/>
      <c r="P287" s="32"/>
      <c r="Q287" s="32"/>
    </row>
    <row r="288" spans="2:17" x14ac:dyDescent="0.25">
      <c r="B288" s="26"/>
      <c r="C288" s="23"/>
      <c r="D288" s="23"/>
      <c r="E288" s="29"/>
      <c r="F288" s="26"/>
      <c r="P288" s="32"/>
      <c r="Q288" s="32"/>
    </row>
    <row r="289" spans="2:17" x14ac:dyDescent="0.25">
      <c r="B289" s="26"/>
      <c r="C289" s="23"/>
      <c r="D289" s="23"/>
      <c r="E289" s="29"/>
      <c r="F289" s="26"/>
      <c r="P289" s="32"/>
      <c r="Q289" s="32"/>
    </row>
    <row r="290" spans="2:17" x14ac:dyDescent="0.25">
      <c r="B290" s="26"/>
      <c r="C290" s="23"/>
      <c r="D290" s="23"/>
      <c r="E290" s="29"/>
      <c r="F290" s="26"/>
      <c r="P290" s="32"/>
      <c r="Q290" s="32"/>
    </row>
    <row r="291" spans="2:17" x14ac:dyDescent="0.25">
      <c r="B291" s="26"/>
      <c r="C291" s="23"/>
      <c r="D291" s="23"/>
      <c r="E291" s="29"/>
      <c r="F291" s="26"/>
      <c r="P291" s="32"/>
      <c r="Q291" s="32"/>
    </row>
    <row r="292" spans="2:17" x14ac:dyDescent="0.25">
      <c r="B292" s="26"/>
      <c r="C292" s="23"/>
      <c r="D292" s="23"/>
      <c r="E292" s="29"/>
      <c r="F292" s="26"/>
      <c r="P292" s="32"/>
      <c r="Q292" s="32"/>
    </row>
    <row r="293" spans="2:17" x14ac:dyDescent="0.25">
      <c r="B293" s="26"/>
      <c r="C293" s="23"/>
      <c r="D293" s="23"/>
      <c r="E293" s="29"/>
      <c r="F293" s="26"/>
      <c r="P293" s="32"/>
      <c r="Q293" s="32"/>
    </row>
    <row r="294" spans="2:17" x14ac:dyDescent="0.25">
      <c r="B294" s="26"/>
      <c r="C294" s="23"/>
      <c r="D294" s="23"/>
      <c r="E294" s="29"/>
      <c r="F294" s="26"/>
      <c r="P294" s="32"/>
      <c r="Q294" s="32"/>
    </row>
    <row r="295" spans="2:17" x14ac:dyDescent="0.25">
      <c r="B295" s="26"/>
      <c r="C295" s="23"/>
      <c r="D295" s="23"/>
      <c r="E295" s="29"/>
      <c r="F295" s="26"/>
      <c r="P295" s="32"/>
      <c r="Q295" s="32"/>
    </row>
    <row r="296" spans="2:17" x14ac:dyDescent="0.25">
      <c r="B296" s="26"/>
      <c r="C296" s="23"/>
      <c r="D296" s="23"/>
      <c r="E296" s="29"/>
      <c r="F296" s="26"/>
      <c r="P296" s="32"/>
      <c r="Q296" s="32"/>
    </row>
    <row r="297" spans="2:17" x14ac:dyDescent="0.25">
      <c r="B297" s="26"/>
      <c r="C297" s="23"/>
      <c r="D297" s="23"/>
      <c r="E297" s="29"/>
      <c r="F297" s="26"/>
      <c r="P297" s="32"/>
      <c r="Q297" s="32"/>
    </row>
    <row r="298" spans="2:17" x14ac:dyDescent="0.25">
      <c r="B298" s="26"/>
      <c r="C298" s="23"/>
      <c r="D298" s="23"/>
      <c r="E298" s="29"/>
      <c r="F298" s="26"/>
      <c r="P298" s="32"/>
      <c r="Q298" s="32"/>
    </row>
    <row r="299" spans="2:17" x14ac:dyDescent="0.25">
      <c r="B299" s="26"/>
      <c r="C299" s="23"/>
      <c r="D299" s="23"/>
      <c r="E299" s="29"/>
      <c r="F299" s="26"/>
      <c r="P299" s="32"/>
      <c r="Q299" s="32"/>
    </row>
    <row r="300" spans="2:17" x14ac:dyDescent="0.25">
      <c r="B300" s="26"/>
      <c r="C300" s="23"/>
      <c r="D300" s="23"/>
      <c r="E300" s="29"/>
      <c r="F300" s="26"/>
      <c r="P300" s="32"/>
      <c r="Q300" s="32"/>
    </row>
    <row r="301" spans="2:17" x14ac:dyDescent="0.25">
      <c r="B301" s="26"/>
      <c r="C301" s="23"/>
      <c r="D301" s="23"/>
      <c r="E301" s="29"/>
      <c r="F301" s="26"/>
      <c r="P301" s="32"/>
      <c r="Q301" s="32"/>
    </row>
    <row r="302" spans="2:17" x14ac:dyDescent="0.25">
      <c r="B302" s="26"/>
      <c r="C302" s="23"/>
      <c r="D302" s="23"/>
      <c r="E302" s="29"/>
      <c r="F302" s="26"/>
      <c r="P302" s="32"/>
      <c r="Q302" s="32"/>
    </row>
    <row r="303" spans="2:17" x14ac:dyDescent="0.25">
      <c r="B303" s="26"/>
      <c r="C303" s="23"/>
      <c r="D303" s="23"/>
      <c r="E303" s="29"/>
      <c r="F303" s="26"/>
      <c r="P303" s="32"/>
      <c r="Q303" s="32"/>
    </row>
    <row r="304" spans="2:17" x14ac:dyDescent="0.25">
      <c r="B304" s="26"/>
      <c r="C304" s="23"/>
      <c r="D304" s="23"/>
      <c r="E304" s="29"/>
      <c r="F304" s="26"/>
      <c r="P304" s="32"/>
      <c r="Q304" s="32"/>
    </row>
    <row r="305" spans="2:17" x14ac:dyDescent="0.25">
      <c r="B305" s="26"/>
      <c r="C305" s="23"/>
      <c r="D305" s="23"/>
      <c r="E305" s="29"/>
      <c r="F305" s="26"/>
      <c r="P305" s="32"/>
      <c r="Q305" s="32"/>
    </row>
    <row r="306" spans="2:17" x14ac:dyDescent="0.25">
      <c r="B306" s="26"/>
      <c r="C306" s="23"/>
      <c r="D306" s="23"/>
      <c r="E306" s="29"/>
      <c r="F306" s="26"/>
      <c r="P306" s="32"/>
      <c r="Q306" s="32"/>
    </row>
    <row r="307" spans="2:17" x14ac:dyDescent="0.25">
      <c r="B307" s="26"/>
      <c r="C307" s="23"/>
      <c r="D307" s="23"/>
      <c r="E307" s="29"/>
      <c r="F307" s="26"/>
      <c r="P307" s="32"/>
      <c r="Q307" s="32"/>
    </row>
    <row r="308" spans="2:17" x14ac:dyDescent="0.25">
      <c r="B308" s="26"/>
      <c r="C308" s="23"/>
      <c r="D308" s="23"/>
      <c r="E308" s="29"/>
      <c r="F308" s="26"/>
      <c r="P308" s="32"/>
      <c r="Q308" s="32"/>
    </row>
    <row r="309" spans="2:17" x14ac:dyDescent="0.25">
      <c r="B309" s="26"/>
      <c r="C309" s="23"/>
      <c r="D309" s="23"/>
      <c r="E309" s="29"/>
      <c r="F309" s="26"/>
      <c r="P309" s="32"/>
      <c r="Q309" s="32"/>
    </row>
    <row r="310" spans="2:17" x14ac:dyDescent="0.25">
      <c r="B310" s="26"/>
      <c r="C310" s="23"/>
      <c r="D310" s="23"/>
      <c r="E310" s="29"/>
      <c r="F310" s="26"/>
      <c r="P310" s="32"/>
      <c r="Q310" s="32"/>
    </row>
    <row r="311" spans="2:17" x14ac:dyDescent="0.25">
      <c r="B311" s="26"/>
      <c r="C311" s="23"/>
      <c r="D311" s="23"/>
      <c r="E311" s="29"/>
      <c r="F311" s="26"/>
      <c r="P311" s="32"/>
      <c r="Q311" s="32"/>
    </row>
    <row r="312" spans="2:17" x14ac:dyDescent="0.25">
      <c r="B312" s="26"/>
      <c r="C312" s="23"/>
      <c r="D312" s="23"/>
      <c r="E312" s="29"/>
      <c r="F312" s="26"/>
      <c r="P312" s="32"/>
      <c r="Q312" s="32"/>
    </row>
    <row r="313" spans="2:17" x14ac:dyDescent="0.25">
      <c r="B313" s="26"/>
      <c r="C313" s="23"/>
      <c r="D313" s="23"/>
      <c r="E313" s="29"/>
      <c r="F313" s="26"/>
      <c r="P313" s="32"/>
      <c r="Q313" s="32"/>
    </row>
    <row r="314" spans="2:17" x14ac:dyDescent="0.25">
      <c r="B314" s="26"/>
      <c r="C314" s="23"/>
      <c r="D314" s="23"/>
      <c r="E314" s="29"/>
      <c r="F314" s="26"/>
      <c r="P314" s="32"/>
      <c r="Q314" s="32"/>
    </row>
    <row r="315" spans="2:17" x14ac:dyDescent="0.25">
      <c r="B315" s="26"/>
      <c r="C315" s="23"/>
      <c r="D315" s="23"/>
      <c r="E315" s="29"/>
      <c r="F315" s="26"/>
      <c r="P315" s="32"/>
      <c r="Q315" s="32"/>
    </row>
    <row r="316" spans="2:17" x14ac:dyDescent="0.25">
      <c r="B316" s="26"/>
      <c r="C316" s="23"/>
      <c r="D316" s="23"/>
      <c r="E316" s="29"/>
      <c r="F316" s="26"/>
      <c r="P316" s="32"/>
      <c r="Q316" s="32"/>
    </row>
    <row r="317" spans="2:17" x14ac:dyDescent="0.25">
      <c r="B317" s="26"/>
      <c r="C317" s="23"/>
      <c r="D317" s="23"/>
      <c r="E317" s="29"/>
      <c r="F317" s="26"/>
      <c r="P317" s="32"/>
      <c r="Q317" s="32"/>
    </row>
    <row r="318" spans="2:17" x14ac:dyDescent="0.25">
      <c r="B318" s="26"/>
      <c r="C318" s="23"/>
      <c r="D318" s="23"/>
      <c r="E318" s="29"/>
      <c r="F318" s="26"/>
      <c r="P318" s="32"/>
      <c r="Q318" s="32"/>
    </row>
    <row r="319" spans="2:17" x14ac:dyDescent="0.25">
      <c r="B319" s="26"/>
      <c r="C319" s="23"/>
      <c r="D319" s="23"/>
      <c r="E319" s="29"/>
      <c r="F319" s="26"/>
      <c r="P319" s="32"/>
      <c r="Q319" s="32"/>
    </row>
    <row r="320" spans="2:17" x14ac:dyDescent="0.25">
      <c r="B320" s="26"/>
      <c r="C320" s="23"/>
      <c r="D320" s="23"/>
      <c r="E320" s="29"/>
      <c r="F320" s="26"/>
      <c r="P320" s="32"/>
      <c r="Q320" s="32"/>
    </row>
    <row r="321" spans="2:17" x14ac:dyDescent="0.25">
      <c r="B321" s="26"/>
      <c r="C321" s="23"/>
      <c r="D321" s="23"/>
      <c r="E321" s="29"/>
      <c r="F321" s="26"/>
      <c r="P321" s="32"/>
      <c r="Q321" s="32"/>
    </row>
    <row r="322" spans="2:17" x14ac:dyDescent="0.25">
      <c r="B322" s="26"/>
      <c r="C322" s="23"/>
      <c r="D322" s="23"/>
      <c r="E322" s="29"/>
      <c r="F322" s="26"/>
      <c r="P322" s="32"/>
      <c r="Q322" s="32"/>
    </row>
    <row r="323" spans="2:17" x14ac:dyDescent="0.25">
      <c r="B323" s="26"/>
      <c r="C323" s="23"/>
      <c r="D323" s="23"/>
      <c r="E323" s="29"/>
      <c r="F323" s="26"/>
      <c r="P323" s="32"/>
      <c r="Q323" s="32"/>
    </row>
    <row r="324" spans="2:17" x14ac:dyDescent="0.25">
      <c r="B324" s="26"/>
      <c r="C324" s="23"/>
      <c r="D324" s="23"/>
      <c r="E324" s="29"/>
      <c r="F324" s="26"/>
      <c r="P324" s="32"/>
      <c r="Q324" s="32"/>
    </row>
    <row r="325" spans="2:17" x14ac:dyDescent="0.25">
      <c r="B325" s="26"/>
      <c r="C325" s="23"/>
      <c r="D325" s="23"/>
      <c r="E325" s="29"/>
      <c r="F325" s="26"/>
      <c r="P325" s="32"/>
      <c r="Q325" s="32"/>
    </row>
    <row r="326" spans="2:17" x14ac:dyDescent="0.25">
      <c r="B326" s="26"/>
      <c r="C326" s="23"/>
      <c r="D326" s="23"/>
      <c r="E326" s="29"/>
      <c r="F326" s="26"/>
      <c r="P326" s="32"/>
      <c r="Q326" s="32"/>
    </row>
    <row r="327" spans="2:17" x14ac:dyDescent="0.25">
      <c r="B327" s="26"/>
      <c r="C327" s="23"/>
      <c r="D327" s="23"/>
      <c r="E327" s="29"/>
      <c r="F327" s="26"/>
      <c r="P327" s="32"/>
      <c r="Q327" s="32"/>
    </row>
    <row r="328" spans="2:17" x14ac:dyDescent="0.25">
      <c r="B328" s="26"/>
      <c r="C328" s="23"/>
      <c r="D328" s="23"/>
      <c r="E328" s="29"/>
      <c r="F328" s="26"/>
      <c r="P328" s="32"/>
      <c r="Q328" s="32"/>
    </row>
    <row r="329" spans="2:17" x14ac:dyDescent="0.25">
      <c r="B329" s="26"/>
      <c r="C329" s="23"/>
      <c r="D329" s="23"/>
      <c r="E329" s="29"/>
      <c r="F329" s="26"/>
      <c r="P329" s="32"/>
      <c r="Q329" s="32"/>
    </row>
    <row r="330" spans="2:17" x14ac:dyDescent="0.25">
      <c r="B330" s="26"/>
      <c r="C330" s="23"/>
      <c r="D330" s="23"/>
      <c r="E330" s="29"/>
      <c r="F330" s="26"/>
      <c r="P330" s="32"/>
      <c r="Q330" s="32"/>
    </row>
    <row r="331" spans="2:17" x14ac:dyDescent="0.25">
      <c r="B331" s="26"/>
      <c r="C331" s="23"/>
      <c r="D331" s="23"/>
      <c r="E331" s="29"/>
      <c r="F331" s="26"/>
      <c r="P331" s="32"/>
      <c r="Q331" s="32"/>
    </row>
    <row r="332" spans="2:17" x14ac:dyDescent="0.25">
      <c r="B332" s="26"/>
      <c r="C332" s="23"/>
      <c r="D332" s="23"/>
      <c r="E332" s="29"/>
      <c r="F332" s="26"/>
      <c r="P332" s="32"/>
      <c r="Q332" s="32"/>
    </row>
    <row r="333" spans="2:17" x14ac:dyDescent="0.25">
      <c r="B333" s="26"/>
      <c r="C333" s="23"/>
      <c r="D333" s="23"/>
      <c r="E333" s="29"/>
      <c r="F333" s="26"/>
      <c r="P333" s="32"/>
      <c r="Q333" s="32"/>
    </row>
    <row r="334" spans="2:17" x14ac:dyDescent="0.25">
      <c r="B334" s="26"/>
      <c r="C334" s="23"/>
      <c r="D334" s="23"/>
      <c r="E334" s="29"/>
      <c r="F334" s="26"/>
      <c r="P334" s="32"/>
      <c r="Q334" s="32"/>
    </row>
    <row r="335" spans="2:17" x14ac:dyDescent="0.25">
      <c r="B335" s="26"/>
      <c r="C335" s="23"/>
      <c r="D335" s="23"/>
      <c r="E335" s="29"/>
      <c r="F335" s="26"/>
      <c r="P335" s="32"/>
      <c r="Q335" s="32"/>
    </row>
    <row r="336" spans="2:17" x14ac:dyDescent="0.25">
      <c r="B336" s="26"/>
      <c r="C336" s="23"/>
      <c r="D336" s="23"/>
      <c r="E336" s="29"/>
      <c r="F336" s="26"/>
      <c r="P336" s="32"/>
      <c r="Q336" s="32"/>
    </row>
    <row r="337" spans="2:17" x14ac:dyDescent="0.25">
      <c r="B337" s="26"/>
      <c r="C337" s="23"/>
      <c r="D337" s="23"/>
      <c r="E337" s="29"/>
      <c r="F337" s="26"/>
      <c r="P337" s="32"/>
      <c r="Q337" s="32"/>
    </row>
    <row r="338" spans="2:17" x14ac:dyDescent="0.25">
      <c r="B338" s="26"/>
      <c r="C338" s="23"/>
      <c r="D338" s="23"/>
      <c r="E338" s="29"/>
      <c r="F338" s="26"/>
      <c r="P338" s="32"/>
      <c r="Q338" s="32"/>
    </row>
    <row r="339" spans="2:17" x14ac:dyDescent="0.25">
      <c r="B339" s="26"/>
      <c r="C339" s="23"/>
      <c r="D339" s="23"/>
      <c r="E339" s="29"/>
      <c r="F339" s="26"/>
      <c r="P339" s="32"/>
      <c r="Q339" s="32"/>
    </row>
    <row r="340" spans="2:17" x14ac:dyDescent="0.25">
      <c r="B340" s="26"/>
      <c r="C340" s="23"/>
      <c r="D340" s="23"/>
      <c r="E340" s="29"/>
      <c r="F340" s="26"/>
      <c r="P340" s="32"/>
      <c r="Q340" s="32"/>
    </row>
    <row r="341" spans="2:17" x14ac:dyDescent="0.25">
      <c r="B341" s="26"/>
      <c r="C341" s="23"/>
      <c r="D341" s="23"/>
      <c r="E341" s="29"/>
      <c r="F341" s="26"/>
      <c r="P341" s="32"/>
      <c r="Q341" s="32"/>
    </row>
    <row r="342" spans="2:17" x14ac:dyDescent="0.25">
      <c r="B342" s="26"/>
      <c r="C342" s="23"/>
      <c r="D342" s="23"/>
      <c r="E342" s="29"/>
      <c r="F342" s="26"/>
      <c r="P342" s="32"/>
      <c r="Q342" s="32"/>
    </row>
    <row r="343" spans="2:17" x14ac:dyDescent="0.25">
      <c r="B343" s="26"/>
      <c r="C343" s="23"/>
      <c r="D343" s="23"/>
      <c r="E343" s="29"/>
      <c r="F343" s="26"/>
      <c r="P343" s="32"/>
      <c r="Q343" s="32"/>
    </row>
    <row r="344" spans="2:17" x14ac:dyDescent="0.25">
      <c r="B344" s="26"/>
      <c r="C344" s="23"/>
      <c r="D344" s="23"/>
      <c r="E344" s="29"/>
      <c r="F344" s="26"/>
      <c r="P344" s="32"/>
      <c r="Q344" s="32"/>
    </row>
    <row r="345" spans="2:17" x14ac:dyDescent="0.25">
      <c r="B345" s="26"/>
      <c r="C345" s="23"/>
      <c r="D345" s="23"/>
      <c r="E345" s="29"/>
      <c r="F345" s="26"/>
      <c r="P345" s="32"/>
      <c r="Q345" s="32"/>
    </row>
    <row r="346" spans="2:17" x14ac:dyDescent="0.25">
      <c r="B346" s="26"/>
      <c r="C346" s="23"/>
      <c r="D346" s="23"/>
      <c r="E346" s="29"/>
      <c r="F346" s="26"/>
      <c r="P346" s="32"/>
      <c r="Q346" s="32"/>
    </row>
    <row r="347" spans="2:17" x14ac:dyDescent="0.25">
      <c r="B347" s="26"/>
      <c r="C347" s="23"/>
      <c r="D347" s="23"/>
      <c r="E347" s="29"/>
      <c r="F347" s="26"/>
      <c r="P347" s="32"/>
      <c r="Q347" s="32"/>
    </row>
    <row r="348" spans="2:17" x14ac:dyDescent="0.25">
      <c r="B348" s="26"/>
      <c r="C348" s="23"/>
      <c r="D348" s="23"/>
      <c r="E348" s="29"/>
      <c r="F348" s="26"/>
      <c r="P348" s="32"/>
      <c r="Q348" s="32"/>
    </row>
    <row r="349" spans="2:17" x14ac:dyDescent="0.25">
      <c r="B349" s="26"/>
      <c r="C349" s="23"/>
      <c r="D349" s="23"/>
      <c r="E349" s="29"/>
      <c r="F349" s="26"/>
      <c r="P349" s="32"/>
      <c r="Q349" s="32"/>
    </row>
    <row r="350" spans="2:17" x14ac:dyDescent="0.25">
      <c r="B350" s="26"/>
      <c r="C350" s="23"/>
      <c r="D350" s="23"/>
      <c r="E350" s="29"/>
      <c r="F350" s="26"/>
      <c r="P350" s="32"/>
      <c r="Q350" s="32"/>
    </row>
    <row r="351" spans="2:17" x14ac:dyDescent="0.25">
      <c r="B351" s="26"/>
      <c r="C351" s="23"/>
      <c r="D351" s="23"/>
      <c r="E351" s="29"/>
      <c r="F351" s="26"/>
      <c r="P351" s="32"/>
      <c r="Q351" s="32"/>
    </row>
    <row r="352" spans="2:17" x14ac:dyDescent="0.25">
      <c r="B352" s="26"/>
      <c r="C352" s="23"/>
      <c r="D352" s="23"/>
      <c r="E352" s="29"/>
      <c r="F352" s="26"/>
      <c r="P352" s="32"/>
      <c r="Q352" s="32"/>
    </row>
    <row r="353" spans="2:17" x14ac:dyDescent="0.25">
      <c r="B353" s="26"/>
      <c r="C353" s="23"/>
      <c r="D353" s="23"/>
      <c r="E353" s="29"/>
      <c r="F353" s="26"/>
      <c r="P353" s="32"/>
      <c r="Q353" s="32"/>
    </row>
    <row r="354" spans="2:17" x14ac:dyDescent="0.25">
      <c r="B354" s="26"/>
      <c r="C354" s="23"/>
      <c r="D354" s="23"/>
      <c r="E354" s="29"/>
      <c r="F354" s="26"/>
      <c r="P354" s="32"/>
      <c r="Q354" s="32"/>
    </row>
    <row r="355" spans="2:17" x14ac:dyDescent="0.25">
      <c r="B355" s="26"/>
      <c r="C355" s="23"/>
      <c r="D355" s="23"/>
      <c r="E355" s="29"/>
      <c r="F355" s="26"/>
      <c r="P355" s="32"/>
      <c r="Q355" s="32"/>
    </row>
    <row r="356" spans="2:17" x14ac:dyDescent="0.25">
      <c r="B356" s="26"/>
      <c r="C356" s="23"/>
      <c r="D356" s="23"/>
      <c r="E356" s="29"/>
      <c r="F356" s="26"/>
      <c r="P356" s="32"/>
      <c r="Q356" s="32"/>
    </row>
    <row r="357" spans="2:17" x14ac:dyDescent="0.25">
      <c r="B357" s="26"/>
      <c r="C357" s="23"/>
      <c r="D357" s="23"/>
      <c r="E357" s="29"/>
      <c r="F357" s="26"/>
      <c r="P357" s="32"/>
      <c r="Q357" s="32"/>
    </row>
    <row r="358" spans="2:17" x14ac:dyDescent="0.25">
      <c r="B358" s="26"/>
      <c r="C358" s="23"/>
      <c r="D358" s="23"/>
      <c r="E358" s="29"/>
      <c r="F358" s="26"/>
      <c r="P358" s="32"/>
      <c r="Q358" s="32"/>
    </row>
    <row r="359" spans="2:17" x14ac:dyDescent="0.25">
      <c r="B359" s="26"/>
      <c r="C359" s="23"/>
      <c r="D359" s="23"/>
      <c r="E359" s="29"/>
      <c r="F359" s="26"/>
      <c r="P359" s="32"/>
      <c r="Q359" s="32"/>
    </row>
    <row r="360" spans="2:17" x14ac:dyDescent="0.25">
      <c r="B360" s="26"/>
      <c r="C360" s="23"/>
      <c r="D360" s="23"/>
      <c r="E360" s="29"/>
      <c r="F360" s="26"/>
      <c r="P360" s="32"/>
      <c r="Q360" s="32"/>
    </row>
    <row r="361" spans="2:17" x14ac:dyDescent="0.25">
      <c r="B361" s="26"/>
      <c r="C361" s="23"/>
      <c r="D361" s="23"/>
      <c r="E361" s="29"/>
      <c r="F361" s="26"/>
      <c r="P361" s="32"/>
      <c r="Q361" s="32"/>
    </row>
    <row r="362" spans="2:17" x14ac:dyDescent="0.25">
      <c r="B362" s="26"/>
      <c r="C362" s="23"/>
      <c r="D362" s="23"/>
      <c r="E362" s="29"/>
      <c r="F362" s="26"/>
      <c r="P362" s="32"/>
      <c r="Q362" s="32"/>
    </row>
    <row r="363" spans="2:17" x14ac:dyDescent="0.25">
      <c r="B363" s="26"/>
      <c r="C363" s="23"/>
      <c r="D363" s="23"/>
      <c r="E363" s="29"/>
      <c r="F363" s="26"/>
      <c r="P363" s="32"/>
      <c r="Q363" s="32"/>
    </row>
    <row r="364" spans="2:17" x14ac:dyDescent="0.25">
      <c r="B364" s="26"/>
      <c r="C364" s="23"/>
      <c r="D364" s="23"/>
      <c r="E364" s="29"/>
      <c r="F364" s="26"/>
      <c r="P364" s="32"/>
      <c r="Q364" s="32"/>
    </row>
    <row r="365" spans="2:17" x14ac:dyDescent="0.25">
      <c r="B365" s="26"/>
      <c r="C365" s="23"/>
      <c r="D365" s="23"/>
      <c r="E365" s="29"/>
      <c r="F365" s="26"/>
      <c r="P365" s="32"/>
      <c r="Q365" s="32"/>
    </row>
    <row r="366" spans="2:17" x14ac:dyDescent="0.25">
      <c r="B366" s="26"/>
      <c r="C366" s="23"/>
      <c r="D366" s="23"/>
      <c r="E366" s="29"/>
      <c r="F366" s="26"/>
      <c r="P366" s="32"/>
      <c r="Q366" s="32"/>
    </row>
    <row r="367" spans="2:17" x14ac:dyDescent="0.25">
      <c r="B367" s="26"/>
      <c r="C367" s="23"/>
      <c r="D367" s="23"/>
      <c r="E367" s="29"/>
      <c r="F367" s="26"/>
      <c r="P367" s="32"/>
      <c r="Q367" s="32"/>
    </row>
    <row r="368" spans="2:17" x14ac:dyDescent="0.25">
      <c r="B368" s="26"/>
      <c r="C368" s="23"/>
      <c r="D368" s="23"/>
      <c r="E368" s="29"/>
      <c r="F368" s="26"/>
      <c r="P368" s="32"/>
      <c r="Q368" s="32"/>
    </row>
    <row r="369" spans="2:17" x14ac:dyDescent="0.25">
      <c r="B369" s="26"/>
      <c r="C369" s="23"/>
      <c r="D369" s="23"/>
      <c r="E369" s="29"/>
      <c r="F369" s="26"/>
      <c r="P369" s="32"/>
      <c r="Q369" s="32"/>
    </row>
    <row r="370" spans="2:17" x14ac:dyDescent="0.25">
      <c r="B370" s="26"/>
      <c r="C370" s="23"/>
      <c r="D370" s="23"/>
      <c r="E370" s="29"/>
      <c r="F370" s="26"/>
      <c r="P370" s="32"/>
      <c r="Q370" s="32"/>
    </row>
    <row r="371" spans="2:17" x14ac:dyDescent="0.25">
      <c r="B371" s="26"/>
      <c r="C371" s="23"/>
      <c r="D371" s="23"/>
      <c r="E371" s="29"/>
      <c r="F371" s="26"/>
      <c r="P371" s="32"/>
      <c r="Q371" s="32"/>
    </row>
    <row r="372" spans="2:17" x14ac:dyDescent="0.25">
      <c r="B372" s="26"/>
      <c r="C372" s="23"/>
      <c r="D372" s="23"/>
      <c r="E372" s="29"/>
      <c r="F372" s="26"/>
      <c r="P372" s="32"/>
      <c r="Q372" s="32"/>
    </row>
    <row r="373" spans="2:17" x14ac:dyDescent="0.25">
      <c r="B373" s="26"/>
      <c r="C373" s="23"/>
      <c r="D373" s="23"/>
      <c r="E373" s="29"/>
      <c r="F373" s="26"/>
      <c r="P373" s="32"/>
      <c r="Q373" s="32"/>
    </row>
    <row r="374" spans="2:17" x14ac:dyDescent="0.25">
      <c r="B374" s="26"/>
      <c r="C374" s="23"/>
      <c r="D374" s="23"/>
      <c r="E374" s="29"/>
      <c r="F374" s="26"/>
      <c r="P374" s="32"/>
      <c r="Q374" s="32"/>
    </row>
    <row r="375" spans="2:17" x14ac:dyDescent="0.25">
      <c r="B375" s="26"/>
      <c r="C375" s="23"/>
      <c r="D375" s="23"/>
      <c r="E375" s="29"/>
      <c r="F375" s="26"/>
      <c r="P375" s="32"/>
      <c r="Q375" s="32"/>
    </row>
    <row r="376" spans="2:17" x14ac:dyDescent="0.25">
      <c r="B376" s="26"/>
      <c r="C376" s="23"/>
      <c r="D376" s="23"/>
      <c r="E376" s="29"/>
      <c r="F376" s="26"/>
      <c r="P376" s="32"/>
      <c r="Q376" s="32"/>
    </row>
    <row r="377" spans="2:17" x14ac:dyDescent="0.25">
      <c r="B377" s="26"/>
      <c r="C377" s="23"/>
      <c r="D377" s="23"/>
      <c r="E377" s="29"/>
      <c r="F377" s="26"/>
      <c r="P377" s="32"/>
      <c r="Q377" s="32"/>
    </row>
    <row r="378" spans="2:17" x14ac:dyDescent="0.25">
      <c r="B378" s="26"/>
      <c r="C378" s="23"/>
      <c r="D378" s="23"/>
      <c r="E378" s="29"/>
      <c r="F378" s="26"/>
      <c r="P378" s="32"/>
      <c r="Q378" s="32"/>
    </row>
    <row r="379" spans="2:17" x14ac:dyDescent="0.25">
      <c r="B379" s="26"/>
      <c r="C379" s="23"/>
      <c r="D379" s="23"/>
      <c r="E379" s="29"/>
      <c r="F379" s="26"/>
      <c r="P379" s="32"/>
      <c r="Q379" s="32"/>
    </row>
    <row r="380" spans="2:17" x14ac:dyDescent="0.25">
      <c r="B380" s="26"/>
      <c r="C380" s="23"/>
      <c r="D380" s="23"/>
      <c r="E380" s="29"/>
      <c r="F380" s="26"/>
      <c r="P380" s="32"/>
      <c r="Q380" s="32"/>
    </row>
    <row r="381" spans="2:17" x14ac:dyDescent="0.25">
      <c r="B381" s="26"/>
      <c r="C381" s="23"/>
      <c r="D381" s="23"/>
      <c r="E381" s="29"/>
      <c r="F381" s="26"/>
      <c r="P381" s="32"/>
      <c r="Q381" s="32"/>
    </row>
    <row r="382" spans="2:17" x14ac:dyDescent="0.25">
      <c r="B382" s="26"/>
      <c r="C382" s="23"/>
      <c r="D382" s="23"/>
      <c r="E382" s="29"/>
      <c r="F382" s="26"/>
      <c r="P382" s="32"/>
      <c r="Q382" s="32"/>
    </row>
    <row r="383" spans="2:17" x14ac:dyDescent="0.25">
      <c r="B383" s="26"/>
      <c r="C383" s="23"/>
      <c r="D383" s="23"/>
      <c r="E383" s="29"/>
      <c r="F383" s="26"/>
      <c r="P383" s="32"/>
      <c r="Q383" s="32"/>
    </row>
    <row r="384" spans="2:17" x14ac:dyDescent="0.25">
      <c r="B384" s="26"/>
      <c r="C384" s="23"/>
      <c r="D384" s="23"/>
      <c r="E384" s="29"/>
      <c r="F384" s="26"/>
      <c r="P384" s="32"/>
      <c r="Q384" s="32"/>
    </row>
    <row r="385" spans="2:17" x14ac:dyDescent="0.25">
      <c r="B385" s="26"/>
      <c r="C385" s="23"/>
      <c r="D385" s="23"/>
      <c r="E385" s="29"/>
      <c r="F385" s="26"/>
      <c r="P385" s="32"/>
      <c r="Q385" s="32"/>
    </row>
    <row r="386" spans="2:17" x14ac:dyDescent="0.25">
      <c r="B386" s="26"/>
      <c r="C386" s="23"/>
      <c r="D386" s="23"/>
      <c r="E386" s="29"/>
      <c r="F386" s="26"/>
      <c r="P386" s="32"/>
      <c r="Q386" s="32"/>
    </row>
    <row r="387" spans="2:17" x14ac:dyDescent="0.25">
      <c r="B387" s="26"/>
      <c r="C387" s="23"/>
      <c r="D387" s="23"/>
      <c r="E387" s="29"/>
      <c r="F387" s="26"/>
      <c r="P387" s="32"/>
      <c r="Q387" s="32"/>
    </row>
    <row r="388" spans="2:17" x14ac:dyDescent="0.25">
      <c r="B388" s="26"/>
      <c r="C388" s="23"/>
      <c r="D388" s="23"/>
      <c r="E388" s="29"/>
      <c r="F388" s="26"/>
      <c r="P388" s="32"/>
      <c r="Q388" s="32"/>
    </row>
    <row r="389" spans="2:17" x14ac:dyDescent="0.25">
      <c r="B389" s="26"/>
      <c r="C389" s="23"/>
      <c r="D389" s="23"/>
      <c r="E389" s="29"/>
      <c r="F389" s="26"/>
      <c r="P389" s="32"/>
      <c r="Q389" s="32"/>
    </row>
    <row r="390" spans="2:17" x14ac:dyDescent="0.25">
      <c r="B390" s="26"/>
      <c r="C390" s="23"/>
      <c r="D390" s="23"/>
      <c r="E390" s="29"/>
      <c r="F390" s="26"/>
      <c r="P390" s="32"/>
      <c r="Q390" s="32"/>
    </row>
    <row r="391" spans="2:17" x14ac:dyDescent="0.25">
      <c r="B391" s="26"/>
      <c r="C391" s="23"/>
      <c r="D391" s="23"/>
      <c r="E391" s="29"/>
      <c r="F391" s="26"/>
      <c r="P391" s="32"/>
      <c r="Q391" s="32"/>
    </row>
    <row r="392" spans="2:17" x14ac:dyDescent="0.25">
      <c r="B392" s="26"/>
      <c r="C392" s="23"/>
      <c r="D392" s="23"/>
      <c r="E392" s="29"/>
      <c r="F392" s="26"/>
      <c r="P392" s="32"/>
      <c r="Q392" s="32"/>
    </row>
    <row r="393" spans="2:17" x14ac:dyDescent="0.25">
      <c r="B393" s="26"/>
      <c r="C393" s="23"/>
      <c r="D393" s="23"/>
      <c r="E393" s="29"/>
      <c r="F393" s="26"/>
      <c r="P393" s="32"/>
      <c r="Q393" s="32"/>
    </row>
    <row r="394" spans="2:17" x14ac:dyDescent="0.25">
      <c r="B394" s="26"/>
      <c r="C394" s="23"/>
      <c r="D394" s="23"/>
      <c r="E394" s="29"/>
      <c r="F394" s="26"/>
      <c r="P394" s="32"/>
      <c r="Q394" s="32"/>
    </row>
    <row r="395" spans="2:17" x14ac:dyDescent="0.25">
      <c r="B395" s="26"/>
      <c r="C395" s="23"/>
      <c r="D395" s="23"/>
      <c r="E395" s="29"/>
      <c r="F395" s="26"/>
      <c r="P395" s="32"/>
      <c r="Q395" s="32"/>
    </row>
    <row r="396" spans="2:17" x14ac:dyDescent="0.25">
      <c r="B396" s="26"/>
      <c r="C396" s="23"/>
      <c r="D396" s="23"/>
      <c r="E396" s="29"/>
      <c r="F396" s="26"/>
      <c r="P396" s="32"/>
      <c r="Q396" s="32"/>
    </row>
    <row r="397" spans="2:17" x14ac:dyDescent="0.25">
      <c r="B397" s="26"/>
      <c r="C397" s="23"/>
      <c r="D397" s="23"/>
      <c r="E397" s="29"/>
      <c r="F397" s="26"/>
      <c r="P397" s="32"/>
      <c r="Q397" s="32"/>
    </row>
    <row r="398" spans="2:17" x14ac:dyDescent="0.25">
      <c r="B398" s="26"/>
      <c r="C398" s="23"/>
      <c r="D398" s="23"/>
      <c r="E398" s="29"/>
      <c r="F398" s="26"/>
      <c r="P398" s="32"/>
      <c r="Q398" s="32"/>
    </row>
    <row r="399" spans="2:17" x14ac:dyDescent="0.25">
      <c r="B399" s="26"/>
      <c r="C399" s="23"/>
      <c r="D399" s="23"/>
      <c r="E399" s="29"/>
      <c r="F399" s="26"/>
      <c r="P399" s="32"/>
      <c r="Q399" s="32"/>
    </row>
    <row r="400" spans="2:17" x14ac:dyDescent="0.25">
      <c r="B400" s="26"/>
      <c r="C400" s="23"/>
      <c r="D400" s="23"/>
      <c r="E400" s="29"/>
      <c r="F400" s="26"/>
      <c r="P400" s="32"/>
      <c r="Q400" s="32"/>
    </row>
    <row r="401" spans="2:17" x14ac:dyDescent="0.25">
      <c r="B401" s="26"/>
      <c r="C401" s="23"/>
      <c r="D401" s="23"/>
      <c r="E401" s="29"/>
      <c r="F401" s="26"/>
      <c r="P401" s="32"/>
      <c r="Q401" s="32"/>
    </row>
    <row r="402" spans="2:17" x14ac:dyDescent="0.25">
      <c r="B402" s="26"/>
      <c r="C402" s="23"/>
      <c r="D402" s="23"/>
      <c r="E402" s="29"/>
      <c r="F402" s="26"/>
      <c r="P402" s="32"/>
      <c r="Q402" s="32"/>
    </row>
    <row r="403" spans="2:17" x14ac:dyDescent="0.25">
      <c r="B403" s="26"/>
      <c r="C403" s="23"/>
      <c r="D403" s="23"/>
      <c r="E403" s="29"/>
      <c r="F403" s="26"/>
      <c r="P403" s="32"/>
      <c r="Q403" s="32"/>
    </row>
    <row r="404" spans="2:17" x14ac:dyDescent="0.25">
      <c r="B404" s="26"/>
      <c r="C404" s="23"/>
      <c r="D404" s="23"/>
      <c r="E404" s="29"/>
      <c r="F404" s="26"/>
      <c r="P404" s="32"/>
      <c r="Q404" s="32"/>
    </row>
    <row r="405" spans="2:17" x14ac:dyDescent="0.25">
      <c r="B405" s="26"/>
      <c r="C405" s="23"/>
      <c r="D405" s="23"/>
      <c r="E405" s="29"/>
      <c r="F405" s="26"/>
      <c r="P405" s="32"/>
      <c r="Q405" s="32"/>
    </row>
    <row r="406" spans="2:17" x14ac:dyDescent="0.25">
      <c r="B406" s="26"/>
      <c r="C406" s="23"/>
      <c r="D406" s="23"/>
      <c r="E406" s="29"/>
      <c r="F406" s="26"/>
      <c r="P406" s="32"/>
      <c r="Q406" s="32"/>
    </row>
    <row r="407" spans="2:17" x14ac:dyDescent="0.25">
      <c r="B407" s="26"/>
      <c r="C407" s="23"/>
      <c r="D407" s="23"/>
      <c r="E407" s="29"/>
      <c r="F407" s="26"/>
      <c r="P407" s="32"/>
      <c r="Q407" s="32"/>
    </row>
    <row r="408" spans="2:17" x14ac:dyDescent="0.25">
      <c r="B408" s="26"/>
      <c r="C408" s="23"/>
      <c r="D408" s="23"/>
      <c r="E408" s="29"/>
      <c r="F408" s="26"/>
      <c r="P408" s="32"/>
      <c r="Q408" s="32"/>
    </row>
    <row r="409" spans="2:17" x14ac:dyDescent="0.25">
      <c r="B409" s="26"/>
      <c r="C409" s="23"/>
      <c r="D409" s="23"/>
      <c r="E409" s="29"/>
      <c r="F409" s="26"/>
      <c r="P409" s="32"/>
      <c r="Q409" s="32"/>
    </row>
    <row r="410" spans="2:17" x14ac:dyDescent="0.25">
      <c r="B410" s="26"/>
      <c r="C410" s="23"/>
      <c r="D410" s="23"/>
      <c r="E410" s="29"/>
      <c r="F410" s="26"/>
      <c r="P410" s="32"/>
      <c r="Q410" s="32"/>
    </row>
    <row r="411" spans="2:17" x14ac:dyDescent="0.25">
      <c r="B411" s="26"/>
      <c r="C411" s="23"/>
      <c r="D411" s="23"/>
      <c r="E411" s="29"/>
      <c r="F411" s="26"/>
      <c r="P411" s="32"/>
      <c r="Q411" s="32"/>
    </row>
    <row r="412" spans="2:17" x14ac:dyDescent="0.25">
      <c r="B412" s="26"/>
      <c r="C412" s="23"/>
      <c r="D412" s="23"/>
      <c r="E412" s="29"/>
      <c r="F412" s="26"/>
      <c r="P412" s="32"/>
      <c r="Q412" s="32"/>
    </row>
    <row r="413" spans="2:17" x14ac:dyDescent="0.25">
      <c r="B413" s="26"/>
      <c r="C413" s="23"/>
      <c r="D413" s="23"/>
      <c r="E413" s="29"/>
      <c r="F413" s="26"/>
      <c r="P413" s="32"/>
      <c r="Q413" s="32"/>
    </row>
    <row r="414" spans="2:17" x14ac:dyDescent="0.25">
      <c r="B414" s="26"/>
      <c r="C414" s="23"/>
      <c r="D414" s="23"/>
      <c r="E414" s="29"/>
      <c r="F414" s="26"/>
      <c r="P414" s="32"/>
      <c r="Q414" s="32"/>
    </row>
    <row r="415" spans="2:17" x14ac:dyDescent="0.25">
      <c r="B415" s="26"/>
      <c r="C415" s="23"/>
      <c r="D415" s="23"/>
      <c r="E415" s="29"/>
      <c r="F415" s="26"/>
      <c r="P415" s="32"/>
      <c r="Q415" s="32"/>
    </row>
    <row r="416" spans="2:17" x14ac:dyDescent="0.25">
      <c r="B416" s="26"/>
      <c r="C416" s="23"/>
      <c r="D416" s="23"/>
      <c r="E416" s="29"/>
      <c r="F416" s="26"/>
      <c r="P416" s="32"/>
      <c r="Q416" s="32"/>
    </row>
    <row r="417" spans="2:17" x14ac:dyDescent="0.25">
      <c r="B417" s="26"/>
      <c r="C417" s="23"/>
      <c r="D417" s="23"/>
      <c r="E417" s="29"/>
      <c r="F417" s="26"/>
      <c r="P417" s="32"/>
      <c r="Q417" s="32"/>
    </row>
    <row r="418" spans="2:17" x14ac:dyDescent="0.25">
      <c r="B418" s="26"/>
      <c r="C418" s="23"/>
      <c r="D418" s="23"/>
      <c r="E418" s="29"/>
      <c r="F418" s="26"/>
      <c r="P418" s="32"/>
      <c r="Q418" s="32"/>
    </row>
    <row r="419" spans="2:17" x14ac:dyDescent="0.25">
      <c r="B419" s="26"/>
      <c r="C419" s="23"/>
      <c r="D419" s="23"/>
      <c r="E419" s="29"/>
      <c r="F419" s="26"/>
      <c r="P419" s="32"/>
      <c r="Q419" s="32"/>
    </row>
    <row r="420" spans="2:17" x14ac:dyDescent="0.25">
      <c r="B420" s="26"/>
      <c r="C420" s="23"/>
      <c r="D420" s="23"/>
      <c r="E420" s="29"/>
      <c r="F420" s="26"/>
      <c r="P420" s="32"/>
      <c r="Q420" s="32"/>
    </row>
    <row r="421" spans="2:17" x14ac:dyDescent="0.25">
      <c r="B421" s="26"/>
      <c r="C421" s="23"/>
      <c r="D421" s="23"/>
      <c r="E421" s="29"/>
      <c r="F421" s="26"/>
      <c r="P421" s="32"/>
      <c r="Q421" s="32"/>
    </row>
    <row r="422" spans="2:17" x14ac:dyDescent="0.25">
      <c r="B422" s="26"/>
      <c r="C422" s="23"/>
      <c r="D422" s="23"/>
      <c r="E422" s="29"/>
      <c r="F422" s="26"/>
      <c r="P422" s="32"/>
      <c r="Q422" s="32"/>
    </row>
    <row r="423" spans="2:17" x14ac:dyDescent="0.25">
      <c r="B423" s="26"/>
      <c r="C423" s="23"/>
      <c r="D423" s="23"/>
      <c r="E423" s="29"/>
      <c r="F423" s="26"/>
      <c r="P423" s="32"/>
      <c r="Q423" s="32"/>
    </row>
    <row r="424" spans="2:17" x14ac:dyDescent="0.25">
      <c r="B424" s="26"/>
      <c r="C424" s="23"/>
      <c r="D424" s="23"/>
      <c r="E424" s="29"/>
      <c r="F424" s="26"/>
      <c r="P424" s="32"/>
      <c r="Q424" s="32"/>
    </row>
    <row r="425" spans="2:17" x14ac:dyDescent="0.25">
      <c r="B425" s="26"/>
      <c r="C425" s="23"/>
      <c r="D425" s="23"/>
      <c r="E425" s="29"/>
      <c r="F425" s="26"/>
      <c r="P425" s="32"/>
      <c r="Q425" s="32"/>
    </row>
    <row r="426" spans="2:17" x14ac:dyDescent="0.25">
      <c r="B426" s="26"/>
      <c r="C426" s="23"/>
      <c r="D426" s="23"/>
      <c r="E426" s="29"/>
      <c r="F426" s="26"/>
      <c r="P426" s="32"/>
      <c r="Q426" s="32"/>
    </row>
    <row r="427" spans="2:17" x14ac:dyDescent="0.25">
      <c r="B427" s="26"/>
      <c r="C427" s="23"/>
      <c r="D427" s="23"/>
      <c r="E427" s="29"/>
      <c r="F427" s="26"/>
      <c r="P427" s="32"/>
      <c r="Q427" s="32"/>
    </row>
    <row r="428" spans="2:17" x14ac:dyDescent="0.25">
      <c r="B428" s="26"/>
      <c r="C428" s="23"/>
      <c r="D428" s="23"/>
      <c r="E428" s="29"/>
      <c r="F428" s="26"/>
      <c r="P428" s="32"/>
      <c r="Q428" s="32"/>
    </row>
    <row r="429" spans="2:17" x14ac:dyDescent="0.25">
      <c r="B429" s="26"/>
      <c r="C429" s="23"/>
      <c r="D429" s="23"/>
      <c r="E429" s="29"/>
      <c r="F429" s="26"/>
      <c r="P429" s="32"/>
      <c r="Q429" s="32"/>
    </row>
    <row r="430" spans="2:17" x14ac:dyDescent="0.25">
      <c r="B430" s="26"/>
      <c r="C430" s="23"/>
      <c r="D430" s="23"/>
      <c r="E430" s="29"/>
      <c r="F430" s="26"/>
      <c r="P430" s="32"/>
      <c r="Q430" s="32"/>
    </row>
    <row r="431" spans="2:17" x14ac:dyDescent="0.25">
      <c r="B431" s="26"/>
      <c r="C431" s="23"/>
      <c r="D431" s="23"/>
      <c r="E431" s="29"/>
      <c r="F431" s="26"/>
      <c r="P431" s="32"/>
      <c r="Q431" s="32"/>
    </row>
    <row r="432" spans="2:17" x14ac:dyDescent="0.25">
      <c r="B432" s="26"/>
      <c r="C432" s="23"/>
      <c r="D432" s="23"/>
      <c r="E432" s="29"/>
      <c r="F432" s="26"/>
      <c r="P432" s="32"/>
      <c r="Q432" s="32"/>
    </row>
    <row r="433" spans="2:17" x14ac:dyDescent="0.25">
      <c r="B433" s="26"/>
      <c r="C433" s="23"/>
      <c r="D433" s="23"/>
      <c r="E433" s="29"/>
      <c r="F433" s="26"/>
      <c r="P433" s="32"/>
      <c r="Q433" s="32"/>
    </row>
    <row r="434" spans="2:17" x14ac:dyDescent="0.25">
      <c r="B434" s="26"/>
      <c r="C434" s="23"/>
      <c r="D434" s="23"/>
      <c r="E434" s="29"/>
      <c r="F434" s="26"/>
      <c r="P434" s="32"/>
      <c r="Q434" s="32"/>
    </row>
    <row r="435" spans="2:17" x14ac:dyDescent="0.25">
      <c r="B435" s="26"/>
      <c r="C435" s="23"/>
      <c r="D435" s="23"/>
      <c r="E435" s="29"/>
      <c r="F435" s="26"/>
      <c r="P435" s="32"/>
      <c r="Q435" s="32"/>
    </row>
    <row r="436" spans="2:17" x14ac:dyDescent="0.25">
      <c r="B436" s="26"/>
      <c r="C436" s="23"/>
      <c r="D436" s="23"/>
      <c r="E436" s="29"/>
      <c r="F436" s="26"/>
      <c r="P436" s="32"/>
      <c r="Q436" s="32"/>
    </row>
    <row r="437" spans="2:17" x14ac:dyDescent="0.25">
      <c r="B437" s="26"/>
      <c r="C437" s="23"/>
      <c r="D437" s="23"/>
      <c r="E437" s="29"/>
      <c r="F437" s="26"/>
      <c r="P437" s="32"/>
      <c r="Q437" s="32"/>
    </row>
    <row r="438" spans="2:17" x14ac:dyDescent="0.25">
      <c r="B438" s="26"/>
      <c r="C438" s="23"/>
      <c r="D438" s="23"/>
      <c r="E438" s="29"/>
      <c r="F438" s="26"/>
      <c r="P438" s="32"/>
      <c r="Q438" s="32"/>
    </row>
    <row r="439" spans="2:17" x14ac:dyDescent="0.25">
      <c r="B439" s="26"/>
      <c r="C439" s="23"/>
      <c r="D439" s="23"/>
      <c r="E439" s="29"/>
      <c r="F439" s="26"/>
      <c r="P439" s="32"/>
      <c r="Q439" s="32"/>
    </row>
    <row r="440" spans="2:17" x14ac:dyDescent="0.25">
      <c r="B440" s="26"/>
      <c r="C440" s="23"/>
      <c r="D440" s="23"/>
      <c r="E440" s="29"/>
      <c r="F440" s="26"/>
      <c r="P440" s="32"/>
      <c r="Q440" s="32"/>
    </row>
    <row r="441" spans="2:17" x14ac:dyDescent="0.25">
      <c r="B441" s="26"/>
      <c r="C441" s="23"/>
      <c r="D441" s="23"/>
      <c r="E441" s="29"/>
      <c r="F441" s="26"/>
      <c r="P441" s="32"/>
      <c r="Q441" s="32"/>
    </row>
    <row r="442" spans="2:17" x14ac:dyDescent="0.25">
      <c r="B442" s="26"/>
      <c r="C442" s="23"/>
      <c r="D442" s="23"/>
      <c r="E442" s="29"/>
      <c r="F442" s="26"/>
      <c r="P442" s="32"/>
      <c r="Q442" s="32"/>
    </row>
    <row r="443" spans="2:17" x14ac:dyDescent="0.25">
      <c r="B443" s="26"/>
      <c r="C443" s="23"/>
      <c r="D443" s="23"/>
      <c r="E443" s="29"/>
      <c r="F443" s="26"/>
      <c r="P443" s="32"/>
      <c r="Q443" s="32"/>
    </row>
    <row r="444" spans="2:17" x14ac:dyDescent="0.25">
      <c r="B444" s="26"/>
      <c r="C444" s="23"/>
      <c r="D444" s="23"/>
      <c r="E444" s="29"/>
      <c r="F444" s="26"/>
      <c r="P444" s="32"/>
      <c r="Q444" s="32"/>
    </row>
    <row r="445" spans="2:17" x14ac:dyDescent="0.25">
      <c r="B445" s="26"/>
      <c r="C445" s="23"/>
      <c r="D445" s="23"/>
      <c r="E445" s="29"/>
      <c r="F445" s="26"/>
      <c r="P445" s="32"/>
      <c r="Q445" s="32"/>
    </row>
    <row r="446" spans="2:17" x14ac:dyDescent="0.25">
      <c r="B446" s="26"/>
      <c r="C446" s="23"/>
      <c r="D446" s="23"/>
      <c r="E446" s="29"/>
      <c r="F446" s="26"/>
      <c r="P446" s="32"/>
      <c r="Q446" s="32"/>
    </row>
    <row r="447" spans="2:17" x14ac:dyDescent="0.25">
      <c r="B447" s="26"/>
      <c r="C447" s="23"/>
      <c r="D447" s="23"/>
      <c r="E447" s="29"/>
      <c r="F447" s="26"/>
      <c r="P447" s="32"/>
      <c r="Q447" s="32"/>
    </row>
    <row r="448" spans="2:17" x14ac:dyDescent="0.25">
      <c r="B448" s="26"/>
      <c r="C448" s="23"/>
      <c r="D448" s="23"/>
      <c r="E448" s="29"/>
      <c r="F448" s="26"/>
      <c r="P448" s="32"/>
      <c r="Q448" s="32"/>
    </row>
    <row r="449" spans="2:17" x14ac:dyDescent="0.25">
      <c r="B449" s="26"/>
      <c r="C449" s="23"/>
      <c r="D449" s="23"/>
      <c r="E449" s="29"/>
      <c r="F449" s="26"/>
      <c r="P449" s="32"/>
      <c r="Q449" s="32"/>
    </row>
    <row r="450" spans="2:17" x14ac:dyDescent="0.25">
      <c r="B450" s="26"/>
      <c r="C450" s="23"/>
      <c r="D450" s="23"/>
      <c r="E450" s="29"/>
      <c r="F450" s="26"/>
      <c r="P450" s="32"/>
      <c r="Q450" s="32"/>
    </row>
    <row r="451" spans="2:17" x14ac:dyDescent="0.25">
      <c r="B451" s="26"/>
      <c r="C451" s="23"/>
      <c r="D451" s="23"/>
      <c r="E451" s="29"/>
      <c r="F451" s="26"/>
      <c r="P451" s="32"/>
      <c r="Q451" s="32"/>
    </row>
    <row r="452" spans="2:17" x14ac:dyDescent="0.25">
      <c r="B452" s="26"/>
      <c r="C452" s="23"/>
      <c r="D452" s="23"/>
      <c r="E452" s="29"/>
      <c r="F452" s="26"/>
      <c r="P452" s="32"/>
      <c r="Q452" s="32"/>
    </row>
    <row r="453" spans="2:17" x14ac:dyDescent="0.25">
      <c r="B453" s="26"/>
      <c r="C453" s="23"/>
      <c r="D453" s="23"/>
      <c r="E453" s="29"/>
      <c r="F453" s="26"/>
      <c r="P453" s="32"/>
      <c r="Q453" s="32"/>
    </row>
    <row r="454" spans="2:17" x14ac:dyDescent="0.25">
      <c r="B454" s="26"/>
      <c r="C454" s="23"/>
      <c r="D454" s="23"/>
      <c r="E454" s="29"/>
      <c r="F454" s="26"/>
      <c r="P454" s="32"/>
      <c r="Q454" s="32"/>
    </row>
    <row r="455" spans="2:17" x14ac:dyDescent="0.25">
      <c r="B455" s="26"/>
      <c r="C455" s="23"/>
      <c r="D455" s="23"/>
      <c r="E455" s="29"/>
      <c r="F455" s="26"/>
      <c r="P455" s="32"/>
      <c r="Q455" s="32"/>
    </row>
    <row r="456" spans="2:17" x14ac:dyDescent="0.25">
      <c r="B456" s="26"/>
      <c r="C456" s="23"/>
      <c r="D456" s="23"/>
      <c r="E456" s="29"/>
      <c r="F456" s="26"/>
      <c r="P456" s="32"/>
      <c r="Q456" s="32"/>
    </row>
    <row r="457" spans="2:17" x14ac:dyDescent="0.25">
      <c r="B457" s="26"/>
      <c r="C457" s="23"/>
      <c r="D457" s="23"/>
      <c r="E457" s="29"/>
      <c r="F457" s="26"/>
      <c r="P457" s="32"/>
      <c r="Q457" s="32"/>
    </row>
    <row r="458" spans="2:17" x14ac:dyDescent="0.25">
      <c r="B458" s="26"/>
      <c r="C458" s="23"/>
      <c r="D458" s="23"/>
      <c r="E458" s="29"/>
      <c r="F458" s="26"/>
      <c r="P458" s="32"/>
      <c r="Q458" s="32"/>
    </row>
    <row r="459" spans="2:17" x14ac:dyDescent="0.25">
      <c r="B459" s="26"/>
      <c r="C459" s="23"/>
      <c r="D459" s="23"/>
      <c r="E459" s="29"/>
      <c r="F459" s="26"/>
      <c r="P459" s="32"/>
      <c r="Q459" s="32"/>
    </row>
    <row r="460" spans="2:17" x14ac:dyDescent="0.25">
      <c r="B460" s="26"/>
      <c r="C460" s="23"/>
      <c r="D460" s="23"/>
      <c r="E460" s="29"/>
      <c r="F460" s="26"/>
      <c r="P460" s="32"/>
      <c r="Q460" s="32"/>
    </row>
    <row r="461" spans="2:17" x14ac:dyDescent="0.25">
      <c r="B461" s="26"/>
      <c r="C461" s="23"/>
      <c r="D461" s="23"/>
      <c r="E461" s="29"/>
      <c r="F461" s="26"/>
      <c r="P461" s="32"/>
      <c r="Q461" s="32"/>
    </row>
    <row r="462" spans="2:17" x14ac:dyDescent="0.25">
      <c r="B462" s="26"/>
      <c r="C462" s="23"/>
      <c r="D462" s="23"/>
      <c r="E462" s="29"/>
      <c r="F462" s="26"/>
      <c r="P462" s="32"/>
      <c r="Q462" s="32"/>
    </row>
    <row r="463" spans="2:17" x14ac:dyDescent="0.25">
      <c r="B463" s="26"/>
      <c r="C463" s="23"/>
      <c r="D463" s="23"/>
      <c r="E463" s="29"/>
      <c r="F463" s="26"/>
      <c r="P463" s="32"/>
      <c r="Q463" s="32"/>
    </row>
    <row r="464" spans="2:17" x14ac:dyDescent="0.25">
      <c r="B464" s="26"/>
      <c r="C464" s="23"/>
      <c r="D464" s="23"/>
      <c r="E464" s="29"/>
      <c r="F464" s="26"/>
      <c r="P464" s="32"/>
      <c r="Q464" s="32"/>
    </row>
    <row r="465" spans="2:17" x14ac:dyDescent="0.25">
      <c r="B465" s="26"/>
      <c r="C465" s="23"/>
      <c r="D465" s="23"/>
      <c r="E465" s="29"/>
      <c r="F465" s="26"/>
      <c r="P465" s="32"/>
      <c r="Q465" s="32"/>
    </row>
    <row r="466" spans="2:17" x14ac:dyDescent="0.25">
      <c r="B466" s="26"/>
      <c r="C466" s="23"/>
      <c r="D466" s="23"/>
      <c r="E466" s="29"/>
      <c r="F466" s="26"/>
      <c r="P466" s="32"/>
      <c r="Q466" s="32"/>
    </row>
    <row r="467" spans="2:17" x14ac:dyDescent="0.25">
      <c r="B467" s="26"/>
      <c r="C467" s="23"/>
      <c r="D467" s="23"/>
      <c r="E467" s="29"/>
      <c r="F467" s="26"/>
      <c r="P467" s="32"/>
      <c r="Q467" s="32"/>
    </row>
    <row r="468" spans="2:17" x14ac:dyDescent="0.25">
      <c r="B468" s="26"/>
      <c r="C468" s="23"/>
      <c r="D468" s="23"/>
      <c r="E468" s="29"/>
      <c r="F468" s="26"/>
      <c r="P468" s="32"/>
      <c r="Q468" s="32"/>
    </row>
    <row r="469" spans="2:17" x14ac:dyDescent="0.25">
      <c r="B469" s="26"/>
      <c r="C469" s="23"/>
      <c r="D469" s="23"/>
      <c r="E469" s="29"/>
      <c r="F469" s="26"/>
      <c r="P469" s="32"/>
      <c r="Q469" s="32"/>
    </row>
    <row r="470" spans="2:17" x14ac:dyDescent="0.25">
      <c r="B470" s="26"/>
      <c r="C470" s="23"/>
      <c r="D470" s="23"/>
      <c r="E470" s="29"/>
      <c r="F470" s="26"/>
      <c r="P470" s="32"/>
      <c r="Q470" s="32"/>
    </row>
    <row r="471" spans="2:17" x14ac:dyDescent="0.25">
      <c r="B471" s="26"/>
      <c r="C471" s="23"/>
      <c r="D471" s="23"/>
      <c r="E471" s="29"/>
      <c r="F471" s="26"/>
      <c r="P471" s="32"/>
      <c r="Q471" s="32"/>
    </row>
    <row r="472" spans="2:17" x14ac:dyDescent="0.25">
      <c r="B472" s="26"/>
      <c r="C472" s="23"/>
      <c r="D472" s="23"/>
      <c r="E472" s="29"/>
      <c r="F472" s="26"/>
      <c r="P472" s="32"/>
      <c r="Q472" s="32"/>
    </row>
    <row r="473" spans="2:17" x14ac:dyDescent="0.25">
      <c r="B473" s="26"/>
      <c r="C473" s="23"/>
      <c r="D473" s="23"/>
      <c r="E473" s="29"/>
      <c r="F473" s="26"/>
      <c r="P473" s="32"/>
      <c r="Q473" s="32"/>
    </row>
    <row r="474" spans="2:17" x14ac:dyDescent="0.25">
      <c r="B474" s="26"/>
      <c r="C474" s="23"/>
      <c r="D474" s="23"/>
      <c r="E474" s="29"/>
      <c r="F474" s="26"/>
      <c r="P474" s="32"/>
      <c r="Q474" s="32"/>
    </row>
    <row r="475" spans="2:17" x14ac:dyDescent="0.25">
      <c r="B475" s="26"/>
      <c r="C475" s="23"/>
      <c r="D475" s="23"/>
      <c r="E475" s="29"/>
      <c r="F475" s="26"/>
      <c r="P475" s="32"/>
      <c r="Q475" s="32"/>
    </row>
    <row r="476" spans="2:17" x14ac:dyDescent="0.25">
      <c r="B476" s="26"/>
      <c r="C476" s="23"/>
      <c r="D476" s="23"/>
      <c r="E476" s="29"/>
      <c r="F476" s="26"/>
      <c r="P476" s="32"/>
      <c r="Q476" s="32"/>
    </row>
    <row r="477" spans="2:17" x14ac:dyDescent="0.25">
      <c r="B477" s="26"/>
      <c r="C477" s="23"/>
      <c r="D477" s="23"/>
      <c r="E477" s="29"/>
      <c r="F477" s="26"/>
      <c r="P477" s="32"/>
      <c r="Q477" s="32"/>
    </row>
    <row r="478" spans="2:17" x14ac:dyDescent="0.25">
      <c r="B478" s="26"/>
      <c r="C478" s="23"/>
      <c r="D478" s="23"/>
      <c r="E478" s="29"/>
      <c r="F478" s="26"/>
      <c r="P478" s="32"/>
      <c r="Q478" s="32"/>
    </row>
    <row r="479" spans="2:17" x14ac:dyDescent="0.25">
      <c r="B479" s="26"/>
      <c r="C479" s="23"/>
      <c r="D479" s="23"/>
      <c r="E479" s="29"/>
      <c r="F479" s="26"/>
      <c r="P479" s="32"/>
      <c r="Q479" s="32"/>
    </row>
    <row r="480" spans="2:17" x14ac:dyDescent="0.25">
      <c r="B480" s="26"/>
      <c r="C480" s="23"/>
      <c r="D480" s="23"/>
      <c r="E480" s="29"/>
      <c r="F480" s="26"/>
      <c r="P480" s="32"/>
      <c r="Q480" s="32"/>
    </row>
    <row r="481" spans="2:17" x14ac:dyDescent="0.25">
      <c r="B481" s="26"/>
      <c r="C481" s="23"/>
      <c r="D481" s="23"/>
      <c r="E481" s="29"/>
      <c r="F481" s="26"/>
      <c r="P481" s="32"/>
      <c r="Q481" s="32"/>
    </row>
    <row r="482" spans="2:17" x14ac:dyDescent="0.25">
      <c r="B482" s="26"/>
      <c r="C482" s="23"/>
      <c r="D482" s="23"/>
      <c r="E482" s="29"/>
      <c r="F482" s="26"/>
      <c r="P482" s="32"/>
      <c r="Q482" s="32"/>
    </row>
    <row r="483" spans="2:17" x14ac:dyDescent="0.25">
      <c r="B483" s="26"/>
      <c r="C483" s="23"/>
      <c r="D483" s="23"/>
      <c r="E483" s="29"/>
      <c r="F483" s="26"/>
      <c r="P483" s="32"/>
      <c r="Q483" s="32"/>
    </row>
    <row r="484" spans="2:17" x14ac:dyDescent="0.25">
      <c r="B484" s="26"/>
      <c r="C484" s="23"/>
      <c r="D484" s="23"/>
      <c r="E484" s="29"/>
      <c r="F484" s="26"/>
      <c r="P484" s="32"/>
      <c r="Q484" s="32"/>
    </row>
    <row r="485" spans="2:17" x14ac:dyDescent="0.25">
      <c r="B485" s="26"/>
      <c r="C485" s="23"/>
      <c r="D485" s="23"/>
      <c r="E485" s="29"/>
      <c r="F485" s="26"/>
      <c r="P485" s="32"/>
      <c r="Q485" s="32"/>
    </row>
    <row r="486" spans="2:17" x14ac:dyDescent="0.25">
      <c r="B486" s="26"/>
      <c r="C486" s="23"/>
      <c r="D486" s="23"/>
      <c r="E486" s="29"/>
      <c r="F486" s="26"/>
      <c r="P486" s="32"/>
      <c r="Q486" s="32"/>
    </row>
    <row r="487" spans="2:17" x14ac:dyDescent="0.25">
      <c r="B487" s="26"/>
      <c r="C487" s="23"/>
      <c r="D487" s="23"/>
      <c r="E487" s="29"/>
      <c r="F487" s="26"/>
      <c r="P487" s="32"/>
      <c r="Q487" s="32"/>
    </row>
    <row r="488" spans="2:17" x14ac:dyDescent="0.25">
      <c r="B488" s="26"/>
      <c r="C488" s="23"/>
      <c r="D488" s="23"/>
      <c r="E488" s="29"/>
      <c r="F488" s="26"/>
      <c r="P488" s="32"/>
      <c r="Q488" s="32"/>
    </row>
    <row r="489" spans="2:17" x14ac:dyDescent="0.25">
      <c r="B489" s="26"/>
      <c r="C489" s="23"/>
      <c r="D489" s="23"/>
      <c r="E489" s="29"/>
      <c r="F489" s="26"/>
      <c r="P489" s="32"/>
      <c r="Q489" s="32"/>
    </row>
    <row r="490" spans="2:17" x14ac:dyDescent="0.25">
      <c r="B490" s="26"/>
      <c r="C490" s="23"/>
      <c r="D490" s="23"/>
      <c r="E490" s="29"/>
      <c r="F490" s="26"/>
      <c r="P490" s="32"/>
      <c r="Q490" s="32"/>
    </row>
    <row r="491" spans="2:17" x14ac:dyDescent="0.25">
      <c r="B491" s="26"/>
      <c r="C491" s="23"/>
      <c r="D491" s="23"/>
      <c r="E491" s="29"/>
      <c r="F491" s="26"/>
      <c r="P491" s="32"/>
      <c r="Q491" s="32"/>
    </row>
    <row r="492" spans="2:17" x14ac:dyDescent="0.25">
      <c r="B492" s="26"/>
      <c r="C492" s="23"/>
      <c r="D492" s="23"/>
      <c r="E492" s="29"/>
      <c r="F492" s="26"/>
      <c r="P492" s="32"/>
      <c r="Q492" s="32"/>
    </row>
    <row r="493" spans="2:17" x14ac:dyDescent="0.25">
      <c r="B493" s="26"/>
      <c r="C493" s="23"/>
      <c r="D493" s="23"/>
      <c r="E493" s="29"/>
      <c r="F493" s="26"/>
      <c r="P493" s="32"/>
      <c r="Q493" s="32"/>
    </row>
    <row r="494" spans="2:17" x14ac:dyDescent="0.25">
      <c r="B494" s="26"/>
      <c r="C494" s="23"/>
      <c r="D494" s="23"/>
      <c r="E494" s="29"/>
      <c r="F494" s="26"/>
      <c r="P494" s="32"/>
      <c r="Q494" s="32"/>
    </row>
    <row r="495" spans="2:17" x14ac:dyDescent="0.25">
      <c r="B495" s="26"/>
      <c r="C495" s="23"/>
      <c r="D495" s="23"/>
      <c r="E495" s="29"/>
      <c r="F495" s="26"/>
      <c r="P495" s="32"/>
      <c r="Q495" s="32"/>
    </row>
    <row r="496" spans="2:17" x14ac:dyDescent="0.25">
      <c r="B496" s="26"/>
      <c r="C496" s="23"/>
      <c r="D496" s="23"/>
      <c r="E496" s="29"/>
      <c r="F496" s="26"/>
      <c r="P496" s="32"/>
      <c r="Q496" s="32"/>
    </row>
    <row r="497" spans="2:17" x14ac:dyDescent="0.25">
      <c r="B497" s="26"/>
      <c r="C497" s="23"/>
      <c r="D497" s="23"/>
      <c r="E497" s="29"/>
      <c r="F497" s="26"/>
      <c r="P497" s="32"/>
      <c r="Q497" s="32"/>
    </row>
    <row r="498" spans="2:17" x14ac:dyDescent="0.25">
      <c r="B498" s="26"/>
      <c r="C498" s="23"/>
      <c r="D498" s="23"/>
      <c r="E498" s="29"/>
      <c r="F498" s="26"/>
      <c r="P498" s="32"/>
      <c r="Q498" s="32"/>
    </row>
    <row r="499" spans="2:17" x14ac:dyDescent="0.25">
      <c r="B499" s="26"/>
      <c r="C499" s="23"/>
      <c r="D499" s="23"/>
      <c r="E499" s="29"/>
      <c r="F499" s="26"/>
      <c r="P499" s="32"/>
      <c r="Q499" s="32"/>
    </row>
    <row r="500" spans="2:17" x14ac:dyDescent="0.25">
      <c r="B500" s="26"/>
      <c r="C500" s="23"/>
      <c r="D500" s="23"/>
      <c r="E500" s="29"/>
      <c r="F500" s="26"/>
      <c r="P500" s="32"/>
      <c r="Q500" s="32"/>
    </row>
    <row r="501" spans="2:17" x14ac:dyDescent="0.25">
      <c r="B501" s="26"/>
      <c r="C501" s="23"/>
      <c r="D501" s="23"/>
      <c r="E501" s="29"/>
      <c r="F501" s="26"/>
      <c r="P501" s="32"/>
      <c r="Q501" s="3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7229F-CB76-4D88-8ABF-48C7812B5F50}">
  <dimension ref="B1:I41"/>
  <sheetViews>
    <sheetView tabSelected="1" workbookViewId="0">
      <selection activeCell="B16" sqref="B16:I24"/>
    </sheetView>
  </sheetViews>
  <sheetFormatPr defaultRowHeight="15" x14ac:dyDescent="0.25"/>
  <cols>
    <col min="1" max="1" width="2.5703125" customWidth="1"/>
    <col min="2" max="2" width="33.5703125" customWidth="1"/>
    <col min="3" max="3" width="19.140625" bestFit="1" customWidth="1"/>
  </cols>
  <sheetData>
    <row r="1" spans="2:9" ht="15.75" thickBot="1" x14ac:dyDescent="0.3"/>
    <row r="2" spans="2:9" x14ac:dyDescent="0.25">
      <c r="B2" s="12" t="s">
        <v>25</v>
      </c>
      <c r="C2" s="16">
        <f>COUNT('Rover CSV Data'!A:A)</f>
        <v>0</v>
      </c>
      <c r="D2" s="17" t="str">
        <f>IF(RoverStations&lt;=200,"OK","Too many rover stations!!")</f>
        <v>OK</v>
      </c>
      <c r="E2" s="3"/>
      <c r="F2" s="3" t="s">
        <v>30</v>
      </c>
      <c r="G2" s="3"/>
      <c r="H2" s="4"/>
    </row>
    <row r="3" spans="2:9" x14ac:dyDescent="0.25">
      <c r="B3" s="13" t="s">
        <v>26</v>
      </c>
      <c r="C3" s="14">
        <f>COUNT('Rover POS File'!A:A)</f>
        <v>0</v>
      </c>
      <c r="D3" s="6"/>
      <c r="E3" s="6"/>
      <c r="F3" s="6" t="s">
        <v>31</v>
      </c>
      <c r="G3" s="7">
        <f>COUNTIF('Rover POS File'!E:E,LEFT(Variables!F3,1))</f>
        <v>0</v>
      </c>
      <c r="H3" s="8" t="s">
        <v>37</v>
      </c>
    </row>
    <row r="4" spans="2:9" x14ac:dyDescent="0.25">
      <c r="B4" s="13" t="s">
        <v>27</v>
      </c>
      <c r="C4" s="15">
        <f>MIN('Rover POS File'!A:A)</f>
        <v>0</v>
      </c>
      <c r="D4" s="6"/>
      <c r="E4" s="6"/>
      <c r="F4" s="6" t="s">
        <v>32</v>
      </c>
      <c r="G4" s="7">
        <f>COUNTIF('Rover POS File'!E:E,LEFT(Variables!F4,1))</f>
        <v>0</v>
      </c>
      <c r="H4" s="8"/>
    </row>
    <row r="5" spans="2:9" x14ac:dyDescent="0.25">
      <c r="B5" s="13" t="s">
        <v>28</v>
      </c>
      <c r="C5" s="15">
        <f>MAX('Rover POS File'!A:A)</f>
        <v>0</v>
      </c>
      <c r="D5" s="6"/>
      <c r="E5" s="6"/>
      <c r="F5" s="6" t="s">
        <v>33</v>
      </c>
      <c r="G5" s="7">
        <f>COUNTIF('Rover POS File'!E:E,LEFT(Variables!F5,1))</f>
        <v>0</v>
      </c>
      <c r="H5" s="8"/>
    </row>
    <row r="6" spans="2:9" x14ac:dyDescent="0.25">
      <c r="B6" s="13" t="s">
        <v>46</v>
      </c>
      <c r="C6" s="14">
        <v>200</v>
      </c>
      <c r="D6" s="6"/>
      <c r="E6" s="6"/>
      <c r="F6" s="6" t="s">
        <v>34</v>
      </c>
      <c r="G6" s="7">
        <f>COUNTIF('Rover POS File'!E:E,LEFT(Variables!F6,1))</f>
        <v>0</v>
      </c>
      <c r="H6" s="8"/>
    </row>
    <row r="7" spans="2:9" x14ac:dyDescent="0.25">
      <c r="B7" s="5"/>
      <c r="C7" s="6"/>
      <c r="D7" s="6"/>
      <c r="E7" s="6"/>
      <c r="F7" s="6" t="s">
        <v>35</v>
      </c>
      <c r="G7" s="7">
        <f>COUNTIF('Rover POS File'!E:E,LEFT(Variables!F7,1))</f>
        <v>0</v>
      </c>
      <c r="H7" s="8" t="s">
        <v>38</v>
      </c>
    </row>
    <row r="8" spans="2:9" ht="16.5" thickBot="1" x14ac:dyDescent="0.3">
      <c r="B8" s="34" t="s">
        <v>66</v>
      </c>
      <c r="C8" s="35"/>
      <c r="D8" s="35"/>
      <c r="E8" s="35"/>
      <c r="F8" s="9" t="s">
        <v>36</v>
      </c>
      <c r="G8" s="10">
        <f>COUNTIF('Rover POS File'!E:E,LEFT(Variables!F8,1))</f>
        <v>0</v>
      </c>
      <c r="H8" s="11"/>
    </row>
    <row r="10" spans="2:9" ht="15.75" thickBot="1" x14ac:dyDescent="0.3"/>
    <row r="11" spans="2:9" ht="75" customHeight="1" x14ac:dyDescent="0.25">
      <c r="B11" s="20" t="s">
        <v>29</v>
      </c>
      <c r="C11" s="18">
        <v>1</v>
      </c>
      <c r="D11" s="36" t="s">
        <v>67</v>
      </c>
      <c r="E11" s="37"/>
      <c r="F11" s="37"/>
      <c r="G11" s="37"/>
      <c r="H11" s="37"/>
    </row>
    <row r="12" spans="2:9" ht="75" customHeight="1" thickBot="1" x14ac:dyDescent="0.3">
      <c r="B12" s="20" t="s">
        <v>43</v>
      </c>
      <c r="C12" s="19">
        <v>5</v>
      </c>
      <c r="D12" s="36" t="s">
        <v>68</v>
      </c>
      <c r="E12" s="37"/>
      <c r="F12" s="37"/>
      <c r="G12" s="37"/>
      <c r="H12" s="37"/>
    </row>
    <row r="15" spans="2:9" x14ac:dyDescent="0.25">
      <c r="B15" t="s">
        <v>69</v>
      </c>
    </row>
    <row r="16" spans="2:9" ht="15" customHeight="1" x14ac:dyDescent="0.25">
      <c r="B16" s="39" t="s">
        <v>70</v>
      </c>
      <c r="C16" s="39"/>
      <c r="D16" s="39"/>
      <c r="E16" s="39"/>
      <c r="F16" s="39"/>
      <c r="G16" s="39"/>
      <c r="H16" s="39"/>
      <c r="I16" s="39"/>
    </row>
    <row r="17" spans="2:9" x14ac:dyDescent="0.25">
      <c r="B17" s="39"/>
      <c r="C17" s="39"/>
      <c r="D17" s="39"/>
      <c r="E17" s="39"/>
      <c r="F17" s="39"/>
      <c r="G17" s="39"/>
      <c r="H17" s="39"/>
      <c r="I17" s="39"/>
    </row>
    <row r="18" spans="2:9" x14ac:dyDescent="0.25">
      <c r="B18" s="39"/>
      <c r="C18" s="39"/>
      <c r="D18" s="39"/>
      <c r="E18" s="39"/>
      <c r="F18" s="39"/>
      <c r="G18" s="39"/>
      <c r="H18" s="39"/>
      <c r="I18" s="39"/>
    </row>
    <row r="19" spans="2:9" x14ac:dyDescent="0.25">
      <c r="B19" s="39"/>
      <c r="C19" s="39"/>
      <c r="D19" s="39"/>
      <c r="E19" s="39"/>
      <c r="F19" s="39"/>
      <c r="G19" s="39"/>
      <c r="H19" s="39"/>
      <c r="I19" s="39"/>
    </row>
    <row r="20" spans="2:9" x14ac:dyDescent="0.25">
      <c r="B20" s="39"/>
      <c r="C20" s="39"/>
      <c r="D20" s="39"/>
      <c r="E20" s="39"/>
      <c r="F20" s="39"/>
      <c r="G20" s="39"/>
      <c r="H20" s="39"/>
      <c r="I20" s="39"/>
    </row>
    <row r="21" spans="2:9" x14ac:dyDescent="0.25">
      <c r="B21" s="39"/>
      <c r="C21" s="39"/>
      <c r="D21" s="39"/>
      <c r="E21" s="39"/>
      <c r="F21" s="39"/>
      <c r="G21" s="39"/>
      <c r="H21" s="39"/>
      <c r="I21" s="39"/>
    </row>
    <row r="22" spans="2:9" x14ac:dyDescent="0.25">
      <c r="B22" s="39"/>
      <c r="C22" s="39"/>
      <c r="D22" s="39"/>
      <c r="E22" s="39"/>
      <c r="F22" s="39"/>
      <c r="G22" s="39"/>
      <c r="H22" s="39"/>
      <c r="I22" s="39"/>
    </row>
    <row r="23" spans="2:9" x14ac:dyDescent="0.25">
      <c r="B23" s="39"/>
      <c r="C23" s="39"/>
      <c r="D23" s="39"/>
      <c r="E23" s="39"/>
      <c r="F23" s="39"/>
      <c r="G23" s="39"/>
      <c r="H23" s="39"/>
      <c r="I23" s="39"/>
    </row>
    <row r="24" spans="2:9" x14ac:dyDescent="0.25">
      <c r="B24" s="39"/>
      <c r="C24" s="39"/>
      <c r="D24" s="39"/>
      <c r="E24" s="39"/>
      <c r="F24" s="39"/>
      <c r="G24" s="39"/>
      <c r="H24" s="39"/>
      <c r="I24" s="39"/>
    </row>
    <row r="25" spans="2:9" x14ac:dyDescent="0.25">
      <c r="B25" s="38"/>
    </row>
    <row r="26" spans="2:9" x14ac:dyDescent="0.25">
      <c r="B26" t="s">
        <v>71</v>
      </c>
    </row>
    <row r="27" spans="2:9" ht="30" customHeight="1" x14ac:dyDescent="0.25">
      <c r="B27" s="40" t="s">
        <v>72</v>
      </c>
      <c r="C27" s="40"/>
    </row>
    <row r="29" spans="2:9" x14ac:dyDescent="0.25">
      <c r="B29" s="38"/>
    </row>
    <row r="31" spans="2:9" x14ac:dyDescent="0.25">
      <c r="B31" s="38"/>
    </row>
    <row r="33" spans="2:2" x14ac:dyDescent="0.25">
      <c r="B33" s="38"/>
    </row>
    <row r="35" spans="2:2" x14ac:dyDescent="0.25">
      <c r="B35" s="38"/>
    </row>
    <row r="37" spans="2:2" x14ac:dyDescent="0.25">
      <c r="B37" s="38"/>
    </row>
    <row r="39" spans="2:2" x14ac:dyDescent="0.25">
      <c r="B39" s="38"/>
    </row>
    <row r="41" spans="2:2" x14ac:dyDescent="0.25">
      <c r="B41" s="38"/>
    </row>
  </sheetData>
  <mergeCells count="5">
    <mergeCell ref="B27:C27"/>
    <mergeCell ref="B8:E8"/>
    <mergeCell ref="D11:H11"/>
    <mergeCell ref="D12:H12"/>
    <mergeCell ref="B16:I24"/>
  </mergeCells>
  <hyperlinks>
    <hyperlink ref="B27" r:id="rId1" xr:uid="{8E6A500A-DCA4-418A-9D4C-810CA9A0CE05}"/>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B86C89A-A67F-4240-AE4C-D00250EB03E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10</vt:i4>
      </vt:variant>
    </vt:vector>
  </HeadingPairs>
  <TitlesOfParts>
    <vt:vector size="14" baseType="lpstr">
      <vt:lpstr>Rover CSV Data</vt:lpstr>
      <vt:lpstr>Rover POS File</vt:lpstr>
      <vt:lpstr>Point_Results</vt:lpstr>
      <vt:lpstr>Variables</vt:lpstr>
      <vt:lpstr>MaxRovers</vt:lpstr>
      <vt:lpstr>POS_elev</vt:lpstr>
      <vt:lpstr>POS_Lat</vt:lpstr>
      <vt:lpstr>POS_Long</vt:lpstr>
      <vt:lpstr>POS_Q</vt:lpstr>
      <vt:lpstr>POS_Time</vt:lpstr>
      <vt:lpstr>RoverStations</vt:lpstr>
      <vt:lpstr>sde</vt:lpstr>
      <vt:lpstr>sdn</vt:lpstr>
      <vt:lpstr>sdu</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GPS Post-Processing Rover Point Extraction Worksheet</dc:title>
  <dc:creator>Toby Dogwiler</dc:creator>
  <cp:keywords>GNSS;GPS;Post-Processing;Rover;Points</cp:keywords>
  <cp:lastModifiedBy>Toby Dogwiler</cp:lastModifiedBy>
  <dcterms:created xsi:type="dcterms:W3CDTF">2019-10-20T23:03:37Z</dcterms:created>
  <dcterms:modified xsi:type="dcterms:W3CDTF">2019-10-22T00:23:59Z</dcterms:modified>
</cp:coreProperties>
</file>